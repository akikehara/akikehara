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am/Desktop/Undergrad/ECEP 402/PROJECT/"/>
    </mc:Choice>
  </mc:AlternateContent>
  <xr:revisionPtr revIDLastSave="0" documentId="13_ncr:1_{B91A7F4E-16D7-834D-8A30-788B569DBDF2}" xr6:coauthVersionLast="45" xr6:coauthVersionMax="45" xr10:uidLastSave="{00000000-0000-0000-0000-000000000000}"/>
  <bookViews>
    <workbookView xWindow="28800" yWindow="0" windowWidth="38400" windowHeight="21600" tabRatio="598" activeTab="4" xr2:uid="{00000000-000D-0000-FFFF-FFFF00000000}"/>
  </bookViews>
  <sheets>
    <sheet name="Properties" sheetId="21" r:id="rId1"/>
    <sheet name="Functions" sheetId="18" r:id="rId2"/>
    <sheet name="Model" sheetId="22" r:id="rId3"/>
    <sheet name="Question 3" sheetId="23" r:id="rId4"/>
    <sheet name="Question 4" sheetId="24" r:id="rId5"/>
    <sheet name="Question 5" sheetId="25" r:id="rId6"/>
    <sheet name="Question 6" sheetId="26" r:id="rId7"/>
    <sheet name="Question 7" sheetId="27" r:id="rId8"/>
  </sheets>
  <functionGroups builtInGroupCount="19"/>
  <definedNames>
    <definedName name="Boron_Mass">Model!$B$9</definedName>
    <definedName name="Core_Diameter">Model!$E$3</definedName>
    <definedName name="Core_Height">Model!$E$2</definedName>
    <definedName name="Core_Radius">Model!$E$4</definedName>
    <definedName name="Core_Volume">Model!$B$4</definedName>
    <definedName name="Fuel_density">Model!$B$7</definedName>
    <definedName name="HDR">Model!$B$5</definedName>
    <definedName name="N_235" localSheetId="2">Model!$E$5</definedName>
    <definedName name="N_B">Model!$E$7</definedName>
    <definedName name="N_H20">Model!$E$6</definedName>
    <definedName name="neutrons_per_fission">Model!$B$14</definedName>
    <definedName name="Pressure">Model!$B$2</definedName>
    <definedName name="solver_adj" localSheetId="2" hidden="1">Model!$Y$22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Model!$Y$3</definedName>
    <definedName name="solver_lhs2" localSheetId="2" hidden="1">Model!$Y$4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Model!$X$22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1</definedName>
    <definedName name="solver_rhs1" localSheetId="2" hidden="1">0</definedName>
    <definedName name="solver_rhs2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2</definedName>
    <definedName name="Tc_ave">Model!$B$6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22" l="1"/>
  <c r="AG4" i="22"/>
  <c r="AG5" i="22" s="1"/>
  <c r="AG6" i="22" s="1"/>
  <c r="AG7" i="22" s="1"/>
  <c r="AG8" i="22" s="1"/>
  <c r="AG9" i="22" s="1"/>
  <c r="AG10" i="22" s="1"/>
  <c r="AG11" i="22" s="1"/>
  <c r="AG12" i="22" s="1"/>
  <c r="AG13" i="22" s="1"/>
  <c r="AG14" i="22" s="1"/>
  <c r="AG15" i="22" s="1"/>
  <c r="AG16" i="22" s="1"/>
  <c r="AG17" i="22" s="1"/>
  <c r="AG18" i="22" s="1"/>
  <c r="AG19" i="22" s="1"/>
  <c r="AG20" i="22" s="1"/>
  <c r="AG21" i="22" s="1"/>
  <c r="AG22" i="22" s="1"/>
  <c r="AD4" i="22"/>
  <c r="AD5" i="22" s="1"/>
  <c r="AD6" i="22" s="1"/>
  <c r="AD7" i="22" s="1"/>
  <c r="AD8" i="22" s="1"/>
  <c r="AD9" i="22" s="1"/>
  <c r="AD10" i="22" s="1"/>
  <c r="AD11" i="22" s="1"/>
  <c r="AD12" i="22" s="1"/>
  <c r="AD13" i="22" s="1"/>
  <c r="AD14" i="22" s="1"/>
  <c r="AD15" i="22" s="1"/>
  <c r="AD16" i="22" s="1"/>
  <c r="AD17" i="22" s="1"/>
  <c r="AD18" i="22" s="1"/>
  <c r="AD19" i="22" s="1"/>
  <c r="AD20" i="22" s="1"/>
  <c r="AD21" i="22" s="1"/>
  <c r="AD22" i="22" s="1"/>
  <c r="AA4" i="22"/>
  <c r="AA5" i="22" s="1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T3" i="22"/>
  <c r="T4" i="22" s="1"/>
  <c r="T5" i="22" s="1"/>
  <c r="T6" i="22" s="1"/>
  <c r="T7" i="22" s="1"/>
  <c r="T8" i="22" s="1"/>
  <c r="T9" i="22" s="1"/>
  <c r="T10" i="22" s="1"/>
  <c r="T11" i="22" s="1"/>
  <c r="T12" i="22" s="1"/>
  <c r="T13" i="22" s="1"/>
  <c r="T14" i="22" s="1"/>
  <c r="T15" i="22" s="1"/>
  <c r="T16" i="22" s="1"/>
  <c r="T17" i="22" s="1"/>
  <c r="T18" i="22" s="1"/>
  <c r="T19" i="22" s="1"/>
  <c r="T20" i="22" s="1"/>
  <c r="T21" i="22" s="1"/>
  <c r="T22" i="22" s="1"/>
  <c r="M4" i="22" l="1"/>
  <c r="M5" i="22" s="1"/>
  <c r="M6" i="22" s="1"/>
  <c r="M7" i="22" s="1"/>
  <c r="M8" i="22" s="1"/>
  <c r="M9" i="22" s="1"/>
  <c r="M10" i="22" s="1"/>
  <c r="M11" i="22" s="1"/>
  <c r="M12" i="22" s="1"/>
  <c r="M13" i="22" s="1"/>
  <c r="M14" i="22" s="1"/>
  <c r="M15" i="22" s="1"/>
  <c r="M16" i="22" s="1"/>
  <c r="M17" i="22" s="1"/>
  <c r="M18" i="22" s="1"/>
  <c r="M19" i="22" s="1"/>
  <c r="M20" i="22" s="1"/>
  <c r="M21" i="22" s="1"/>
  <c r="M22" i="22" s="1"/>
  <c r="M23" i="22" s="1"/>
  <c r="M24" i="22" s="1"/>
  <c r="M25" i="22" s="1"/>
  <c r="M26" i="22" s="1"/>
  <c r="M27" i="22" s="1"/>
  <c r="M28" i="22" s="1"/>
  <c r="M29" i="22" s="1"/>
  <c r="M30" i="22" s="1"/>
  <c r="M31" i="22" s="1"/>
  <c r="E7" i="22" l="1"/>
  <c r="H8" i="22" s="1"/>
  <c r="E5" i="22"/>
  <c r="H6" i="22" s="1"/>
  <c r="E2" i="22"/>
  <c r="E3" i="22" s="1"/>
  <c r="E4" i="22" s="1"/>
  <c r="B26" i="22"/>
  <c r="H16" i="22"/>
  <c r="E6" i="22"/>
  <c r="H18" i="22" a="1"/>
  <c r="K11" i="22" l="1"/>
  <c r="K2" i="22"/>
  <c r="H18" i="22"/>
  <c r="H19" i="22" s="1"/>
  <c r="H7" i="22"/>
  <c r="H2" i="22"/>
  <c r="F26" i="18"/>
  <c r="F20" i="18"/>
  <c r="F48" i="18"/>
  <c r="F97" i="18"/>
  <c r="F87" i="18"/>
  <c r="C16" i="21"/>
  <c r="C8" i="21"/>
  <c r="F42" i="18"/>
  <c r="F79" i="18"/>
  <c r="F40" i="18"/>
  <c r="C28" i="21"/>
  <c r="F45" i="18"/>
  <c r="F14" i="18"/>
  <c r="G11" i="21"/>
  <c r="C10" i="21"/>
  <c r="F72" i="18"/>
  <c r="F63" i="18"/>
  <c r="F106" i="18"/>
  <c r="F62" i="18"/>
  <c r="C29" i="21"/>
  <c r="F16" i="18"/>
  <c r="F59" i="18"/>
  <c r="G16" i="21"/>
  <c r="F91" i="18"/>
  <c r="F31" i="18"/>
  <c r="F47" i="18"/>
  <c r="C22" i="21"/>
  <c r="F77" i="18"/>
  <c r="F55" i="18"/>
  <c r="F112" i="18"/>
  <c r="G10" i="21"/>
  <c r="F56" i="18"/>
  <c r="F103" i="18"/>
  <c r="C26" i="21"/>
  <c r="F95" i="18"/>
  <c r="G8" i="21"/>
  <c r="F81" i="18"/>
  <c r="G26" i="21"/>
  <c r="G23" i="21"/>
  <c r="C12" i="21"/>
  <c r="F24" i="18"/>
  <c r="F19" i="18"/>
  <c r="F18" i="18"/>
  <c r="F34" i="18"/>
  <c r="F94" i="18"/>
  <c r="F10" i="18"/>
  <c r="F37" i="18"/>
  <c r="F33" i="18"/>
  <c r="F64" i="18"/>
  <c r="F65" i="18"/>
  <c r="F99" i="18"/>
  <c r="F30" i="18"/>
  <c r="F41" i="18"/>
  <c r="F53" i="18"/>
  <c r="F23" i="18"/>
  <c r="F76" i="18"/>
  <c r="F104" i="18"/>
  <c r="C23" i="21"/>
  <c r="F86" i="18"/>
  <c r="F12" i="18"/>
  <c r="F15" i="18"/>
  <c r="F22" i="18"/>
  <c r="F32" i="18"/>
  <c r="F67" i="18"/>
  <c r="G14" i="21"/>
  <c r="F52" i="18"/>
  <c r="F111" i="18"/>
  <c r="F25" i="18"/>
  <c r="F68" i="18"/>
  <c r="F29" i="18"/>
  <c r="C15" i="21"/>
  <c r="F11" i="18"/>
  <c r="F69" i="18"/>
  <c r="F70" i="18"/>
  <c r="F80" i="18"/>
  <c r="F75" i="18"/>
  <c r="F107" i="18"/>
  <c r="F51" i="18"/>
  <c r="G15" i="21"/>
  <c r="G25" i="21"/>
  <c r="G24" i="21"/>
  <c r="F78" i="18"/>
  <c r="F38" i="18"/>
  <c r="F90" i="18"/>
  <c r="F98" i="18"/>
  <c r="C24" i="21"/>
  <c r="F61" i="18"/>
  <c r="C11" i="21"/>
  <c r="F60" i="18"/>
  <c r="F39" i="18"/>
  <c r="F54" i="18"/>
  <c r="F28" i="18"/>
  <c r="F73" i="18"/>
  <c r="F96" i="18"/>
  <c r="F71" i="18"/>
  <c r="F36" i="18"/>
  <c r="C14" i="21"/>
  <c r="F44" i="18"/>
  <c r="F100" i="18"/>
  <c r="G12" i="21"/>
  <c r="G22" i="21"/>
  <c r="F57" i="18"/>
  <c r="F85" i="18"/>
  <c r="F9" i="18"/>
  <c r="F46" i="18"/>
  <c r="G28" i="21"/>
  <c r="F21" i="18"/>
  <c r="G29" i="21"/>
  <c r="K5" i="22" l="1"/>
  <c r="K6" i="22"/>
  <c r="K3" i="22"/>
  <c r="K4" i="22" s="1"/>
  <c r="K9" i="22" s="1"/>
  <c r="H20" i="22"/>
  <c r="E12" i="22"/>
  <c r="E20" i="22" s="1"/>
  <c r="H9" i="22" s="1"/>
  <c r="E11" i="22"/>
  <c r="E21" i="22"/>
  <c r="H10" i="22" s="1"/>
  <c r="G27" i="21"/>
  <c r="G17" i="21"/>
  <c r="C27" i="21"/>
  <c r="C17" i="21"/>
  <c r="D49" i="18"/>
  <c r="C25" i="21"/>
  <c r="F49" i="18"/>
  <c r="H11" i="22" l="1"/>
  <c r="K7" i="22"/>
  <c r="H21" i="22"/>
  <c r="H22" i="22"/>
  <c r="H12" i="22" l="1"/>
  <c r="R2" i="22" s="1"/>
  <c r="AI2" i="22"/>
  <c r="Q2" i="22"/>
  <c r="V2" i="22"/>
  <c r="H23" i="22"/>
  <c r="H24" i="22" s="1"/>
  <c r="U2" i="22" l="1"/>
  <c r="AH2" i="22"/>
  <c r="K16" i="22"/>
  <c r="K17" i="22" s="1"/>
  <c r="P2" i="22"/>
  <c r="K8" i="22"/>
  <c r="K10" i="22" s="1"/>
  <c r="X4" i="22" s="1"/>
  <c r="X12" i="22" l="1"/>
  <c r="X20" i="22"/>
  <c r="X13" i="22"/>
  <c r="X21" i="22"/>
  <c r="X6" i="22"/>
  <c r="X14" i="22"/>
  <c r="X22" i="22"/>
  <c r="X7" i="22"/>
  <c r="X15" i="22"/>
  <c r="X8" i="22"/>
  <c r="X16" i="22"/>
  <c r="X9" i="22"/>
  <c r="X17" i="22"/>
  <c r="X10" i="22"/>
  <c r="X11" i="22"/>
  <c r="X19" i="22"/>
  <c r="X5" i="22"/>
  <c r="X18" i="22"/>
  <c r="K12" i="22"/>
  <c r="K18" i="22" s="1"/>
  <c r="X2" i="22" s="1"/>
  <c r="X3" i="22"/>
  <c r="AJ2" i="22"/>
  <c r="AE2" i="22"/>
  <c r="AB2" i="22"/>
  <c r="O2" i="22"/>
  <c r="W2" i="22"/>
  <c r="N2" i="22" l="1"/>
  <c r="AK2" i="22"/>
</calcChain>
</file>

<file path=xl/sharedStrings.xml><?xml version="1.0" encoding="utf-8"?>
<sst xmlns="http://schemas.openxmlformats.org/spreadsheetml/2006/main" count="617" uniqueCount="335">
  <si>
    <t>v2.6</t>
  </si>
  <si>
    <t>* Error in valid region for function tc_ptrho</t>
  </si>
  <si>
    <t>Prandtl</t>
  </si>
  <si>
    <t>Pressure as a function of h and rho (density). Very unaccurate for solid water region since it's almost incompressible!</t>
  </si>
  <si>
    <t>News in V2.2</t>
  </si>
  <si>
    <t>* Function p_hrho added. (Very good for calcualting pressure when heating a volume with water/steam mixture.)</t>
  </si>
  <si>
    <t>* Fixed error in Cp_ph</t>
  </si>
  <si>
    <t>Dynamic Viscosity</t>
  </si>
  <si>
    <t>Calcualted as Cp*my/tc</t>
  </si>
  <si>
    <t>* Prandtl number added</t>
  </si>
  <si>
    <t>* Extensive testing</t>
  </si>
  <si>
    <t>-</t>
  </si>
  <si>
    <t>Version history</t>
  </si>
  <si>
    <t>* Fixed error in T_hs return no value for vet region bellow the water saturation line.</t>
  </si>
  <si>
    <t>News in V2.3</t>
  </si>
  <si>
    <t>* my_ph not defined in region 4.</t>
  </si>
  <si>
    <t>* Problems at region border for h4V_p to adress solver problems at the exact border.</t>
  </si>
  <si>
    <t>* Option Explicit, gives more efficient calculations.</t>
  </si>
  <si>
    <t>* Problem at fast border check in region_ph fixed.</t>
  </si>
  <si>
    <t>News in V2.4</t>
  </si>
  <si>
    <t>* Matlab error giving varaible undefined in some backwards solutions fixed.</t>
  </si>
  <si>
    <t xml:space="preserve"> p_hrho</t>
  </si>
  <si>
    <t xml:space="preserve"> p_hs</t>
  </si>
  <si>
    <t xml:space="preserve"> psat_T</t>
  </si>
  <si>
    <t xml:space="preserve"> T_hs</t>
  </si>
  <si>
    <t xml:space="preserve"> T_ph</t>
  </si>
  <si>
    <t xml:space="preserve"> Tsat_p</t>
  </si>
  <si>
    <t xml:space="preserve"> T_ps</t>
  </si>
  <si>
    <t xml:space="preserve"> hV_p</t>
  </si>
  <si>
    <t xml:space="preserve"> hL_p</t>
  </si>
  <si>
    <t xml:space="preserve"> hV_T</t>
  </si>
  <si>
    <t xml:space="preserve"> hL_T</t>
  </si>
  <si>
    <t xml:space="preserve"> h_pT</t>
  </si>
  <si>
    <t xml:space="preserve"> h_ps</t>
  </si>
  <si>
    <t xml:space="preserve"> h_px</t>
  </si>
  <si>
    <t xml:space="preserve"> h_Tx</t>
  </si>
  <si>
    <t xml:space="preserve"> h_prho</t>
  </si>
  <si>
    <t xml:space="preserve"> vV_p</t>
  </si>
  <si>
    <t xml:space="preserve"> vL_p</t>
  </si>
  <si>
    <t xml:space="preserve"> vV_T</t>
  </si>
  <si>
    <t xml:space="preserve"> vL_T</t>
  </si>
  <si>
    <t xml:space="preserve"> v_pT</t>
  </si>
  <si>
    <t xml:space="preserve"> v_ph</t>
  </si>
  <si>
    <t xml:space="preserve"> v_ps</t>
  </si>
  <si>
    <t xml:space="preserve"> rhoV_p</t>
  </si>
  <si>
    <t xml:space="preserve"> rhoL_p</t>
  </si>
  <si>
    <t xml:space="preserve"> rhoV_T</t>
  </si>
  <si>
    <t xml:space="preserve"> rhoL_T</t>
  </si>
  <si>
    <t xml:space="preserve"> rho_pT</t>
  </si>
  <si>
    <t xml:space="preserve"> rho_ph</t>
  </si>
  <si>
    <t xml:space="preserve"> rho_ps</t>
  </si>
  <si>
    <t xml:space="preserve"> sV_p</t>
  </si>
  <si>
    <t xml:space="preserve"> sL_p</t>
  </si>
  <si>
    <t xml:space="preserve"> sV_T</t>
  </si>
  <si>
    <t xml:space="preserve"> sL_T</t>
  </si>
  <si>
    <t xml:space="preserve"> s_pT</t>
  </si>
  <si>
    <t xml:space="preserve"> s_ph</t>
  </si>
  <si>
    <t xml:space="preserve"> uV_p</t>
  </si>
  <si>
    <t xml:space="preserve"> uL_p</t>
  </si>
  <si>
    <t xml:space="preserve"> uV_T</t>
  </si>
  <si>
    <t xml:space="preserve"> uL_T</t>
  </si>
  <si>
    <t xml:space="preserve"> u_pT</t>
  </si>
  <si>
    <t xml:space="preserve"> u_ph</t>
  </si>
  <si>
    <t xml:space="preserve"> u_ps</t>
  </si>
  <si>
    <t xml:space="preserve"> CpV_p</t>
  </si>
  <si>
    <t xml:space="preserve"> CpL_p</t>
  </si>
  <si>
    <t xml:space="preserve"> CpV_T</t>
  </si>
  <si>
    <t xml:space="preserve"> CpL_T</t>
  </si>
  <si>
    <t xml:space="preserve"> Cp_pT</t>
  </si>
  <si>
    <t xml:space="preserve"> Cp_ph</t>
  </si>
  <si>
    <t xml:space="preserve"> Cp_ps</t>
  </si>
  <si>
    <t xml:space="preserve"> CvV_p</t>
  </si>
  <si>
    <t xml:space="preserve"> CvL_p</t>
  </si>
  <si>
    <t xml:space="preserve"> CvV_T</t>
  </si>
  <si>
    <t xml:space="preserve"> CvL_T</t>
  </si>
  <si>
    <t xml:space="preserve"> Cv_pT</t>
  </si>
  <si>
    <t xml:space="preserve"> Cv_ph</t>
  </si>
  <si>
    <t xml:space="preserve"> Cv_ps</t>
  </si>
  <si>
    <t xml:space="preserve"> wV_p</t>
  </si>
  <si>
    <t xml:space="preserve"> wL_p</t>
  </si>
  <si>
    <t xml:space="preserve"> wV_T</t>
  </si>
  <si>
    <t xml:space="preserve"> wL_T</t>
  </si>
  <si>
    <t xml:space="preserve"> w_pT</t>
  </si>
  <si>
    <t xml:space="preserve"> w_ph</t>
  </si>
  <si>
    <t xml:space="preserve"> w_ps</t>
  </si>
  <si>
    <t xml:space="preserve"> my_pT</t>
  </si>
  <si>
    <t xml:space="preserve"> my_ph</t>
  </si>
  <si>
    <t xml:space="preserve"> my_ps</t>
  </si>
  <si>
    <t xml:space="preserve"> pr_pT</t>
  </si>
  <si>
    <t xml:space="preserve"> pr_ph</t>
  </si>
  <si>
    <t xml:space="preserve"> tcL_p</t>
  </si>
  <si>
    <t xml:space="preserve"> tcV_p</t>
  </si>
  <si>
    <t xml:space="preserve"> tcL_T</t>
  </si>
  <si>
    <t xml:space="preserve"> tcV_T</t>
  </si>
  <si>
    <t xml:space="preserve"> tc_pT</t>
  </si>
  <si>
    <t xml:space="preserve"> tc_ph</t>
  </si>
  <si>
    <t xml:space="preserve"> tc_hs</t>
  </si>
  <si>
    <t xml:space="preserve"> st_T</t>
  </si>
  <si>
    <t xml:space="preserve"> st_p</t>
  </si>
  <si>
    <t xml:space="preserve"> x_ph</t>
  </si>
  <si>
    <t xml:space="preserve"> x_ps</t>
  </si>
  <si>
    <t xml:space="preserve"> vx_ph</t>
  </si>
  <si>
    <t xml:space="preserve"> vx_ps</t>
  </si>
  <si>
    <t>* OpenOffice version introduced. (Fixed calculation differences in open office and excel)</t>
  </si>
  <si>
    <t>* Many missing ; in matlab causing printouts detected.</t>
  </si>
  <si>
    <t>* Functions by p,rho inplemented in matlab also.</t>
  </si>
  <si>
    <t>News in V2.4a</t>
  </si>
  <si>
    <t>* ToSIUnit for h_ps region 4. (No effect in SI unit version).</t>
  </si>
  <si>
    <t>* Fixed small error in Cv Region 5 p&gt;1000bar</t>
  </si>
  <si>
    <t>News in V2.5</t>
  </si>
  <si>
    <t>* Freebasic translation</t>
  </si>
  <si>
    <t>* DLL distrubution for use in other applications</t>
  </si>
  <si>
    <t>* Error in function h3_pt for temperatures near the saturation point.</t>
  </si>
  <si>
    <t>News in V2.6</t>
  </si>
  <si>
    <t>Speed of sound as a function of pressure and entropy.</t>
  </si>
  <si>
    <t>Viscosity as a function of pressure and temperature.</t>
  </si>
  <si>
    <t>Viscosity as a function of pressure and enthalpy</t>
  </si>
  <si>
    <t>Viscosity as a function of pressure and entropy.</t>
  </si>
  <si>
    <t>Vapour fraction as a function of pressure and enthalpy</t>
  </si>
  <si>
    <t>Vapour fraction as a function of pressure and entropy.</t>
  </si>
  <si>
    <t>Vapour volume fraction as a function of pressure and enthalpy</t>
  </si>
  <si>
    <t>Vapour volume fraction as a function of pressure and entropy.</t>
  </si>
  <si>
    <t>* Calling functions of h and s added.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</si>
  <si>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</si>
  <si>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</si>
  <si>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</si>
  <si>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Vapour Volume Fraction</t>
  </si>
  <si>
    <t>Viscosity is not part of IAPWS Steam IF97. Equations from "Revised Release on the IAPWS Formulation 1985 for the Viscosity of Ordinary Water Substance", 2003 are used.</t>
  </si>
  <si>
    <t>Specific entropy as a function of pressure and temperature (Returns saturated vapour entalpy if mixture.)</t>
  </si>
  <si>
    <t>Thermal Conductivity</t>
  </si>
  <si>
    <t>Revised release on the IAPS Formulation 1985 for the Thermal Conductivity of ordinary water substance (IAPWS 1998)</t>
  </si>
  <si>
    <t>W/(m K)</t>
  </si>
  <si>
    <t>Saturated vapour thermal conductivity</t>
  </si>
  <si>
    <t>Saturated liquid thermal conductivity</t>
  </si>
  <si>
    <t>Thermal conductivity as a function of pressure and temperature.</t>
  </si>
  <si>
    <t>Thermal conductivity as a function of pressure and enthalpy</t>
  </si>
  <si>
    <t>Thermal conductivity as a function of enthalpy and entropy</t>
  </si>
  <si>
    <t>Surface Tension</t>
  </si>
  <si>
    <t>IAPWS Release on Surface Tension of Ordinary Water Substance, September 1994</t>
  </si>
  <si>
    <t>N/m</t>
  </si>
  <si>
    <t>* Thermal conductivity, Surface tension added</t>
  </si>
  <si>
    <t>Surface tension for two phase water/steam as a function of T</t>
  </si>
  <si>
    <t>The excel scripts are stored inside this workbook. (No extra files are needed. Start from a copy of this workbook. This page can be removed)</t>
  </si>
  <si>
    <t>For error-reporting, feedback, other units etc. contact:</t>
  </si>
  <si>
    <t>Entalpy as a function of pressure and density. Observe for low temperatures (liquid) this equation has 2 solutions. (Not valid!!)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</si>
  <si>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</si>
  <si>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</si>
  <si>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</si>
  <si>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www.x-eng.com</t>
  </si>
  <si>
    <t>Saturation properties given temperature</t>
  </si>
  <si>
    <t>Saturation properties given pressure</t>
  </si>
  <si>
    <t>bar a</t>
  </si>
  <si>
    <t>Liquid</t>
  </si>
  <si>
    <t>Entropy</t>
  </si>
  <si>
    <t>Vapour</t>
  </si>
  <si>
    <t>Vapour enthalpy</t>
  </si>
  <si>
    <t>Vapour density</t>
  </si>
  <si>
    <t>Vapour Entropy</t>
  </si>
  <si>
    <t>vapour Entropy</t>
  </si>
  <si>
    <t>Evaporation energy</t>
  </si>
  <si>
    <t>Properties given pressure and temperature</t>
  </si>
  <si>
    <t>Properties given pressure and enthalpy</t>
  </si>
  <si>
    <t>IF97 Region</t>
  </si>
  <si>
    <t>Phase</t>
  </si>
  <si>
    <t xml:space="preserve">Isobaric heat capacity </t>
  </si>
  <si>
    <t>Speed of sound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</si>
  <si>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</si>
  <si>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</si>
  <si>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</si>
  <si>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</si>
  <si>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News in V2.1</t>
  </si>
  <si>
    <t>kJ/kg</t>
  </si>
  <si>
    <t>m3/kg</t>
  </si>
  <si>
    <t>kJ/(kg K)</t>
  </si>
  <si>
    <t>m/s</t>
  </si>
  <si>
    <t>Enthalpy</t>
  </si>
  <si>
    <t>Temperature</t>
  </si>
  <si>
    <t>kg/m3</t>
  </si>
  <si>
    <t>bar</t>
  </si>
  <si>
    <t>°C</t>
  </si>
  <si>
    <t xml:space="preserve">Specific entropy </t>
  </si>
  <si>
    <t>Density</t>
  </si>
  <si>
    <t xml:space="preserve">Specific internal energy </t>
  </si>
  <si>
    <t xml:space="preserve">Specific isobaric heat capacity </t>
  </si>
  <si>
    <t xml:space="preserve">Speed of sound </t>
  </si>
  <si>
    <t xml:space="preserve">Specific isochoric heat capacity </t>
  </si>
  <si>
    <t>Pressure</t>
  </si>
  <si>
    <t>Saturation temperature</t>
  </si>
  <si>
    <t>Saturation pressure</t>
  </si>
  <si>
    <t>Specific volume</t>
  </si>
  <si>
    <t>Saturated vapour enthalpy</t>
  </si>
  <si>
    <t>Saturated vapour volume</t>
  </si>
  <si>
    <t>Saturated vapour density</t>
  </si>
  <si>
    <t>Saturated vapour entropy</t>
  </si>
  <si>
    <t>Saturated vapour internal energy</t>
  </si>
  <si>
    <t>Saturated liquid enthalpy</t>
  </si>
  <si>
    <t>Saturated liquid volume</t>
  </si>
  <si>
    <t>Saturated liquid density</t>
  </si>
  <si>
    <t>Saturated liquid entropy</t>
  </si>
  <si>
    <t>Saturated liquid internal energy</t>
  </si>
  <si>
    <t xml:space="preserve">Saturated liquid heat capacity </t>
  </si>
  <si>
    <t xml:space="preserve">Saturated vapour heat capacity </t>
  </si>
  <si>
    <t>Saturated liquid isochoric heat capacity</t>
  </si>
  <si>
    <t>Saturated vapour isochoric heat capacity</t>
  </si>
  <si>
    <t>Saturated liquid speed of sound</t>
  </si>
  <si>
    <t>Saturated vapour speed of sound</t>
  </si>
  <si>
    <t>Vapour fraction</t>
  </si>
  <si>
    <t>Pa s</t>
  </si>
  <si>
    <t>%</t>
  </si>
  <si>
    <t>gets close to the accurancy of steam IF-97</t>
  </si>
  <si>
    <t>Viscosity in the mixed region (4) is interpolated according to the density. This is not true since it will be two fases.</t>
  </si>
  <si>
    <t>OBS: This workbook uses macros. Set security options in Tools:Macro:Security… to enable macros.</t>
  </si>
  <si>
    <t>Temperture as a function of pressure and enthalpy</t>
  </si>
  <si>
    <t>Temperture as a function of pressure and entropy</t>
  </si>
  <si>
    <t>Entalpy as a function of pressure and temperature.</t>
  </si>
  <si>
    <t>Entalpy as a function of pressure and entropy.</t>
  </si>
  <si>
    <t>Observe that vapour volume fraction is very sensitive. Vapour volume is about 1000 times greater than liquid volume and therfore vapour volume fraction</t>
  </si>
  <si>
    <t>The steam tables are free and provided as is. We take no responsibilities for any errors in the code or damage thereby.</t>
  </si>
  <si>
    <t>kJ/kgK</t>
  </si>
  <si>
    <t>X Steam Tables</t>
  </si>
  <si>
    <t>http://www.x-eng.com</t>
  </si>
  <si>
    <t xml:space="preserve">Steam tables by Magnus Holmgren according to IAPWS IF-97 </t>
  </si>
  <si>
    <t xml:space="preserve">Pressure as a function of h and s. </t>
  </si>
  <si>
    <t>magnus@x-eng.com</t>
  </si>
  <si>
    <t>kJ/(kg°C)</t>
  </si>
  <si>
    <t>Entalpy as a function of pressure and vapour fraction</t>
  </si>
  <si>
    <t>Entalpy as a function of temperature and vapour fraction</t>
  </si>
  <si>
    <t>Temperture as a function of enthalpy and entropy</t>
  </si>
  <si>
    <t>Specific volume as a function of pressure and temperature.</t>
  </si>
  <si>
    <t>Specific volume as a function of pressure and enthalpy</t>
  </si>
  <si>
    <t>Specific volume as a function of pressure and entropy.</t>
  </si>
  <si>
    <t>Density as a function of pressure and temperature.</t>
  </si>
  <si>
    <t>Density as a function of pressure and enthalpy</t>
  </si>
  <si>
    <t>Density as a function of pressure and entropy.</t>
  </si>
  <si>
    <t>Specific entropy as a function of pressure and enthalpy</t>
  </si>
  <si>
    <t>Specific internal energy as a function of pressure and temperature.</t>
  </si>
  <si>
    <t>Specific internal energy as a function of pressure and enthalpy</t>
  </si>
  <si>
    <t>Specific internal energy as a function of pressure and entropy.</t>
  </si>
  <si>
    <t>Specific isobaric heat capacity as a function of pressure and temperature.</t>
  </si>
  <si>
    <t>Specific isobaric heat capacity as a function of pressure and enthalpy</t>
  </si>
  <si>
    <t>Specific isobaric heat capacity as a function of pressure and entropy.</t>
  </si>
  <si>
    <t>Specific isochoric heat capacity as a function of pressure and temperature.</t>
  </si>
  <si>
    <t>Specific isochoric heat capacity as a function of pressure and enthalpy</t>
  </si>
  <si>
    <t>Specific isochoric heat capacity as a function of pressure and entropy.</t>
  </si>
  <si>
    <t>Speed of sound as a function of pressure and temperature.</t>
  </si>
  <si>
    <t>Speed of sound as a function of pressure and enthalpy</t>
  </si>
  <si>
    <t>Power (MWt)</t>
  </si>
  <si>
    <t>HDR</t>
  </si>
  <si>
    <t>Thermo-Mechanical Inputs</t>
  </si>
  <si>
    <t>Neutronics Input</t>
  </si>
  <si>
    <t>Enrichment fraction (atom)</t>
  </si>
  <si>
    <r>
      <t>Fuel Density (g/cm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</si>
  <si>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L</t>
    </r>
    <r>
      <rPr>
        <vertAlign val="subscript"/>
        <sz val="10"/>
        <rFont val="Arial"/>
        <family val="2"/>
      </rPr>
      <t>T,mod,20</t>
    </r>
    <r>
      <rPr>
        <sz val="10"/>
        <rFont val="Arial"/>
        <family val="2"/>
      </rPr>
      <t xml:space="preserve"> (cm)</t>
    </r>
  </si>
  <si>
    <t>Pressure (bar)</t>
  </si>
  <si>
    <r>
      <rPr>
        <sz val="10"/>
        <rFont val="Symbol"/>
        <family val="1"/>
        <charset val="2"/>
      </rPr>
      <t>t</t>
    </r>
    <r>
      <rPr>
        <vertAlign val="subscript"/>
        <sz val="10"/>
        <rFont val="Arial"/>
        <family val="2"/>
      </rPr>
      <t>T,20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</si>
  <si>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Control Rod Radius (cm)</t>
  </si>
  <si>
    <r>
      <t>E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(J)</t>
    </r>
  </si>
  <si>
    <t>Average Coolant Temp ( C )</t>
  </si>
  <si>
    <r>
      <rPr>
        <vertAlign val="superscript"/>
        <sz val="11"/>
        <color theme="1"/>
        <rFont val="Calibri"/>
        <family val="2"/>
        <scheme val="minor"/>
      </rPr>
      <t>235</t>
    </r>
    <r>
      <rPr>
        <sz val="10"/>
        <rFont val="Arial"/>
        <family val="2"/>
      </rPr>
      <t xml:space="preserve">U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0"/>
        <rFont val="Arial"/>
        <family val="2"/>
      </rPr>
      <t xml:space="preserve"> (b)</t>
    </r>
  </si>
  <si>
    <r>
      <rPr>
        <vertAlign val="superscript"/>
        <sz val="11"/>
        <color theme="1"/>
        <rFont val="Calibri"/>
        <family val="2"/>
        <scheme val="minor"/>
      </rPr>
      <t>235</t>
    </r>
    <r>
      <rPr>
        <sz val="10"/>
        <rFont val="Arial"/>
        <family val="2"/>
      </rPr>
      <t xml:space="preserve">U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0"/>
        <rFont val="Arial"/>
        <family val="2"/>
      </rPr>
      <t xml:space="preserve"> (b)</t>
    </r>
  </si>
  <si>
    <r>
      <rPr>
        <vertAlign val="superscript"/>
        <sz val="11"/>
        <color theme="1"/>
        <rFont val="Calibri"/>
        <family val="2"/>
        <scheme val="minor"/>
      </rPr>
      <t>10</t>
    </r>
    <r>
      <rPr>
        <sz val="10"/>
        <rFont val="Arial"/>
        <family val="2"/>
      </rPr>
      <t xml:space="preserve">B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0"/>
        <rFont val="Arial"/>
        <family val="2"/>
      </rPr>
      <t xml:space="preserve"> (b)</t>
    </r>
  </si>
  <si>
    <r>
      <rPr>
        <vertAlign val="super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 xml:space="preserve">H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0"/>
        <rFont val="Arial"/>
        <family val="2"/>
      </rPr>
      <t xml:space="preserve"> (b)</t>
    </r>
  </si>
  <si>
    <r>
      <rPr>
        <vertAlign val="super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 xml:space="preserve">H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0"/>
        <rFont val="Arial"/>
        <family val="2"/>
      </rPr>
      <t xml:space="preserve"> (b)</t>
    </r>
  </si>
  <si>
    <r>
      <rPr>
        <vertAlign val="superscript"/>
        <sz val="11"/>
        <color theme="1"/>
        <rFont val="Calibri"/>
        <family val="2"/>
        <scheme val="minor"/>
      </rPr>
      <t>16</t>
    </r>
    <r>
      <rPr>
        <sz val="10"/>
        <rFont val="Arial"/>
        <family val="2"/>
      </rPr>
      <t xml:space="preserve">O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0"/>
        <rFont val="Arial"/>
        <family val="2"/>
      </rPr>
      <t xml:space="preserve"> (b)</t>
    </r>
  </si>
  <si>
    <r>
      <rPr>
        <vertAlign val="superscript"/>
        <sz val="11"/>
        <color theme="1"/>
        <rFont val="Calibri"/>
        <family val="2"/>
        <scheme val="minor"/>
      </rPr>
      <t>16</t>
    </r>
    <r>
      <rPr>
        <sz val="10"/>
        <rFont val="Arial"/>
        <family val="2"/>
      </rPr>
      <t xml:space="preserve">O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0"/>
        <rFont val="Arial"/>
        <family val="2"/>
      </rPr>
      <t xml:space="preserve"> (b)</t>
    </r>
  </si>
  <si>
    <r>
      <rPr>
        <vertAlign val="superscript"/>
        <sz val="11"/>
        <color theme="1"/>
        <rFont val="Calibri"/>
        <family val="2"/>
        <scheme val="minor"/>
      </rPr>
      <t>135</t>
    </r>
    <r>
      <rPr>
        <sz val="10"/>
        <rFont val="Arial"/>
        <family val="2"/>
      </rPr>
      <t xml:space="preserve">Xe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0"/>
        <rFont val="Arial"/>
        <family val="2"/>
      </rPr>
      <t xml:space="preserve"> (b)</t>
    </r>
  </si>
  <si>
    <r>
      <rPr>
        <vertAlign val="superscript"/>
        <sz val="11"/>
        <color theme="1"/>
        <rFont val="Calibri"/>
        <family val="2"/>
        <scheme val="minor"/>
      </rPr>
      <t>149</t>
    </r>
    <r>
      <rPr>
        <sz val="10"/>
        <rFont val="Arial"/>
        <family val="2"/>
      </rPr>
      <t xml:space="preserve">Sm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0"/>
        <rFont val="Arial"/>
        <family val="2"/>
      </rPr>
      <t xml:space="preserve"> (b)</t>
    </r>
  </si>
  <si>
    <t>n</t>
  </si>
  <si>
    <r>
      <t>Volume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</si>
  <si>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t>Basic Calcs</t>
  </si>
  <si>
    <t>Production Rate</t>
  </si>
  <si>
    <t>Absorption Rate</t>
  </si>
  <si>
    <r>
      <rPr>
        <sz val="10"/>
        <rFont val="Symbol"/>
        <family val="1"/>
        <charset val="2"/>
      </rPr>
      <t>nS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</si>
  <si>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a,fuel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</si>
  <si>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a,H20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</si>
  <si>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a,B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</si>
  <si>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Flux Information</t>
  </si>
  <si>
    <r>
      <rPr>
        <sz val="10"/>
        <rFont val="Symbol"/>
        <family val="1"/>
        <charset val="2"/>
      </rPr>
      <t>f</t>
    </r>
    <r>
      <rPr>
        <vertAlign val="subscript"/>
        <sz val="10"/>
        <rFont val="Arial"/>
        <family val="2"/>
      </rPr>
      <t>peak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-2</t>
    </r>
    <r>
      <rPr>
        <sz val="10"/>
        <rFont val="Arial"/>
        <family val="2"/>
      </rPr>
      <t xml:space="preserve"> s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</si>
  <si>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r>
      <rPr>
        <sz val="10"/>
        <rFont val="Symbol"/>
        <family val="1"/>
        <charset val="2"/>
      </rPr>
      <t>f</t>
    </r>
    <r>
      <rPr>
        <vertAlign val="subscript"/>
        <sz val="10"/>
        <rFont val="Calibri"/>
        <family val="2"/>
      </rPr>
      <t>avg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-2</t>
    </r>
    <r>
      <rPr>
        <sz val="10"/>
        <rFont val="Arial"/>
        <family val="2"/>
      </rPr>
      <t xml:space="preserve"> s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</si>
  <si>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Equilibrium Poison</t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</si>
  <si>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I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</si>
  <si>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xe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</si>
  <si>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Arial"/>
        <family val="2"/>
      </rPr>
      <t>x</t>
    </r>
    <r>
      <rPr>
        <sz val="10"/>
        <rFont val="Arial"/>
        <family val="2"/>
      </rPr>
      <t xml:space="preserve"> (s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</si>
  <si>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r>
      <t>X</t>
    </r>
    <r>
      <rPr>
        <vertAlign val="subscript"/>
        <sz val="10"/>
        <rFont val="Arial"/>
        <family val="2"/>
      </rPr>
      <t>eq,av</t>
    </r>
    <r>
      <rPr>
        <sz val="10"/>
        <rFont val="Arial"/>
        <family val="1"/>
        <charset val="2"/>
      </rPr>
      <t xml:space="preserve"> (cm</t>
    </r>
    <r>
      <rPr>
        <vertAlign val="superscript"/>
        <sz val="10"/>
        <rFont val="Arial"/>
        <family val="2"/>
      </rPr>
      <t>-3</t>
    </r>
    <r>
      <rPr>
        <sz val="10"/>
        <rFont val="Arial"/>
        <family val="1"/>
        <charset val="2"/>
      </rPr>
      <t>)</t>
    </r>
  </si>
  <si>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a,Xe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</si>
  <si>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a,Sm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</si>
  <si>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Pm</t>
    </r>
  </si>
  <si>
    <r>
      <t>S</t>
    </r>
    <r>
      <rPr>
        <vertAlign val="subscript"/>
        <sz val="10"/>
        <rFont val="Arial"/>
        <family val="2"/>
      </rPr>
      <t>eq,av</t>
    </r>
    <r>
      <rPr>
        <sz val="10"/>
        <rFont val="Arial"/>
        <family val="1"/>
        <charset val="2"/>
      </rPr>
      <t xml:space="preserve"> (cm</t>
    </r>
    <r>
      <rPr>
        <vertAlign val="superscript"/>
        <sz val="10"/>
        <rFont val="Arial"/>
        <family val="2"/>
      </rPr>
      <t>-3</t>
    </r>
    <r>
      <rPr>
        <sz val="10"/>
        <rFont val="Arial"/>
        <family val="1"/>
        <charset val="2"/>
      </rPr>
      <t>)</t>
    </r>
  </si>
  <si>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</si>
  <si>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Leakage Rate</t>
  </si>
  <si>
    <r>
      <t>D</t>
    </r>
    <r>
      <rPr>
        <vertAlign val="subscript"/>
        <sz val="10"/>
        <rFont val="Arial"/>
        <family val="2"/>
      </rPr>
      <t>20</t>
    </r>
    <r>
      <rPr>
        <sz val="10"/>
        <rFont val="Arial"/>
        <family val="2"/>
      </rPr>
      <t xml:space="preserve"> (cm)</t>
    </r>
  </si>
  <si>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20</t>
    </r>
    <r>
      <rPr>
        <sz val="10"/>
        <rFont val="Arial"/>
        <family val="2"/>
      </rPr>
      <t xml:space="preserve"> (g/cm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</si>
  <si>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 xml:space="preserve"> (g/cm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</si>
  <si>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D</t>
    </r>
    <r>
      <rPr>
        <sz val="10"/>
        <rFont val="Arial"/>
        <family val="2"/>
      </rPr>
      <t xml:space="preserve"> (cm)</t>
    </r>
  </si>
  <si>
    <r>
      <t>B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-2</t>
    </r>
    <r>
      <rPr>
        <sz val="10"/>
        <rFont val="Arial"/>
        <family val="2"/>
      </rPr>
      <t>)</t>
    </r>
  </si>
  <si>
    <t>d (cm)</t>
  </si>
  <si>
    <r>
      <t>H</t>
    </r>
    <r>
      <rPr>
        <vertAlign val="subscript"/>
        <sz val="10"/>
        <rFont val="Arial"/>
        <family val="2"/>
      </rPr>
      <t>tilde</t>
    </r>
    <r>
      <rPr>
        <sz val="10"/>
        <rFont val="Arial"/>
        <family val="2"/>
      </rPr>
      <t xml:space="preserve"> (cm)</t>
    </r>
  </si>
  <si>
    <r>
      <t>R</t>
    </r>
    <r>
      <rPr>
        <vertAlign val="subscript"/>
        <sz val="10"/>
        <rFont val="Arial"/>
        <family val="2"/>
      </rPr>
      <t>tilde</t>
    </r>
    <r>
      <rPr>
        <sz val="10"/>
        <rFont val="Arial"/>
        <family val="2"/>
      </rPr>
      <t xml:space="preserve"> (cm)</t>
    </r>
  </si>
  <si>
    <t xml:space="preserve">Leakage </t>
  </si>
  <si>
    <t>Neutron Multiplication</t>
  </si>
  <si>
    <t>Control Rod</t>
  </si>
  <si>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s,H20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</si>
  <si>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t,H20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</si>
  <si>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r>
      <rPr>
        <sz val="10"/>
        <rFont val="Symbol"/>
        <family val="1"/>
        <charset val="2"/>
      </rPr>
      <t>t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</si>
  <si>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L</t>
    </r>
    <r>
      <rPr>
        <vertAlign val="subscript"/>
        <sz val="10"/>
        <rFont val="Arial"/>
        <family val="2"/>
      </rPr>
      <t>T,mod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</si>
  <si>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M</t>
    </r>
    <r>
      <rPr>
        <vertAlign val="subscript"/>
        <sz val="10"/>
        <rFont val="Arial"/>
        <family val="2"/>
      </rPr>
      <t>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1"/>
        <charset val="2"/>
      </rPr>
      <t xml:space="preserve"> 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1"/>
        <charset val="2"/>
      </rPr>
      <t>)</t>
    </r>
  </si>
  <si>
    <t>Term 1</t>
  </si>
  <si>
    <t>Term 2</t>
  </si>
  <si>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w</t>
    </r>
  </si>
  <si>
    <t>Insertion Depth (cm)</t>
  </si>
  <si>
    <t>Control Rod Insertion Fraction</t>
  </si>
  <si>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rod</t>
    </r>
  </si>
  <si>
    <r>
      <t>k</t>
    </r>
    <r>
      <rPr>
        <vertAlign val="subscript"/>
        <sz val="10"/>
        <rFont val="Arial"/>
        <family val="2"/>
      </rPr>
      <t>no rod</t>
    </r>
  </si>
  <si>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no rod</t>
    </r>
  </si>
  <si>
    <t>Core Height (cm)</t>
  </si>
  <si>
    <t>Core Diameter (cm)</t>
  </si>
  <si>
    <t>Core Radius (cm)</t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</si>
  <si>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N (cm</t>
    </r>
    <r>
      <rPr>
        <vertAlign val="superscript"/>
        <sz val="10"/>
        <rFont val="Arial"/>
        <family val="2"/>
      </rPr>
      <t>-3</t>
    </r>
    <r>
      <rPr>
        <sz val="10"/>
        <rFont val="Arial"/>
        <family val="2"/>
      </rPr>
      <t>)</t>
    </r>
  </si>
  <si>
    <r>
      <rPr>
        <vertAlign val="superscript"/>
        <sz val="10"/>
        <rFont val="Arial"/>
        <family val="2"/>
      </rPr>
      <t>H20</t>
    </r>
    <r>
      <rPr>
        <sz val="10"/>
        <rFont val="Arial"/>
        <family val="2"/>
      </rPr>
      <t>N (cm</t>
    </r>
    <r>
      <rPr>
        <vertAlign val="superscript"/>
        <sz val="10"/>
        <rFont val="Arial"/>
        <family val="2"/>
      </rPr>
      <t>-3</t>
    </r>
    <r>
      <rPr>
        <sz val="10"/>
        <rFont val="Arial"/>
        <family val="2"/>
      </rPr>
      <t>)</t>
    </r>
  </si>
  <si>
    <r>
      <rPr>
        <vertAlign val="superscript"/>
        <sz val="10"/>
        <rFont val="Arial"/>
        <family val="2"/>
      </rPr>
      <t>B</t>
    </r>
    <r>
      <rPr>
        <sz val="10"/>
        <rFont val="Arial"/>
        <family val="2"/>
      </rPr>
      <t>N (cm</t>
    </r>
    <r>
      <rPr>
        <vertAlign val="superscript"/>
        <sz val="10"/>
        <rFont val="Arial"/>
        <family val="2"/>
      </rPr>
      <t>-3</t>
    </r>
    <r>
      <rPr>
        <sz val="10"/>
        <rFont val="Arial"/>
        <family val="2"/>
      </rPr>
      <t>)</t>
    </r>
  </si>
  <si>
    <t>Boron Mass (g)</t>
  </si>
  <si>
    <t>Thermal Util</t>
  </si>
  <si>
    <t>T</t>
  </si>
  <si>
    <t>Reactivity w/ Rod</t>
  </si>
  <si>
    <t>Reactivity w/o</t>
  </si>
  <si>
    <t>LR</t>
  </si>
  <si>
    <t>AR</t>
  </si>
  <si>
    <t>Thermal Utilization</t>
  </si>
  <si>
    <t>Fractional</t>
  </si>
  <si>
    <t>Mass</t>
  </si>
  <si>
    <t>w/o rod</t>
  </si>
  <si>
    <t>Fuel Density</t>
  </si>
  <si>
    <t>Volume</t>
  </si>
  <si>
    <t>w/ rod</t>
  </si>
  <si>
    <t>Reactivity w/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</si>
</sst>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E+00"/>
    <numFmt numFmtId="166" formatCode="0.0"/>
    <numFmt numFmtId="167" formatCode="0.000"/>
    <numFmt numFmtId="168" formatCode="0.000E+00"/>
  </numFmts>
  <fonts count="2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u/>
      <sz val="8"/>
      <color indexed="12"/>
      <name val="Arial"/>
      <family val="2"/>
    </font>
    <font>
      <sz val="14"/>
      <name val="Arial"/>
      <family val="2"/>
    </font>
    <font>
      <b/>
      <u/>
      <sz val="8"/>
      <color indexed="12"/>
      <name val="Arial"/>
      <family val="2"/>
    </font>
    <font>
      <u/>
      <sz val="8"/>
      <color indexed="12"/>
      <name val="Arial"/>
      <family val="2"/>
    </font>
    <font>
      <b/>
      <i/>
      <sz val="12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1"/>
      <charset val="2"/>
    </font>
    <font>
      <vertAlign val="subscript"/>
      <sz val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4" fillId="0" borderId="0" xfId="0" applyFont="1"/>
    <xf numFmtId="0" fontId="0" fillId="0" borderId="0" xfId="0" applyBorder="1"/>
    <xf numFmtId="164" fontId="1" fillId="0" borderId="0" xfId="0" applyNumberFormat="1" applyFont="1"/>
    <xf numFmtId="0" fontId="5" fillId="0" borderId="0" xfId="0" applyFont="1"/>
    <xf numFmtId="165" fontId="1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10" fillId="0" borderId="0" xfId="0" applyFont="1"/>
    <xf numFmtId="0" fontId="11" fillId="0" borderId="0" xfId="1" applyFont="1" applyAlignment="1" applyProtection="1"/>
    <xf numFmtId="0" fontId="12" fillId="0" borderId="0" xfId="1" applyFont="1" applyAlignment="1" applyProtection="1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Fill="1" applyBorder="1"/>
    <xf numFmtId="0" fontId="0" fillId="0" borderId="0" xfId="0" applyFill="1" applyBorder="1"/>
    <xf numFmtId="0" fontId="0" fillId="0" borderId="2" xfId="0" applyFill="1" applyBorder="1"/>
    <xf numFmtId="0" fontId="13" fillId="0" borderId="0" xfId="0" applyFont="1"/>
    <xf numFmtId="0" fontId="9" fillId="0" borderId="0" xfId="1" applyFont="1" applyAlignment="1" applyProtection="1"/>
    <xf numFmtId="0" fontId="3" fillId="0" borderId="0" xfId="1" applyAlignment="1" applyProtection="1"/>
    <xf numFmtId="0" fontId="1" fillId="0" borderId="0" xfId="0" applyFont="1" applyFill="1" applyBorder="1"/>
    <xf numFmtId="167" fontId="0" fillId="0" borderId="0" xfId="0" applyNumberFormat="1" applyBorder="1"/>
    <xf numFmtId="2" fontId="0" fillId="0" borderId="0" xfId="0" applyNumberFormat="1" applyBorder="1"/>
    <xf numFmtId="166" fontId="0" fillId="0" borderId="0" xfId="0" applyNumberFormat="1" applyBorder="1"/>
    <xf numFmtId="0" fontId="1" fillId="0" borderId="1" xfId="0" applyFont="1" applyFill="1" applyBorder="1"/>
    <xf numFmtId="166" fontId="0" fillId="0" borderId="4" xfId="0" applyNumberFormat="1" applyBorder="1"/>
    <xf numFmtId="0" fontId="1" fillId="0" borderId="0" xfId="0" applyFont="1" applyBorder="1" applyAlignment="1">
      <alignment horizontal="center"/>
    </xf>
    <xf numFmtId="0" fontId="0" fillId="2" borderId="6" xfId="0" applyFill="1" applyBorder="1"/>
    <xf numFmtId="2" fontId="1" fillId="3" borderId="7" xfId="0" applyNumberFormat="1" applyFont="1" applyFill="1" applyBorder="1"/>
    <xf numFmtId="0" fontId="0" fillId="2" borderId="8" xfId="0" applyFill="1" applyBorder="1"/>
    <xf numFmtId="2" fontId="1" fillId="3" borderId="0" xfId="0" applyNumberFormat="1" applyFont="1" applyFill="1" applyBorder="1"/>
    <xf numFmtId="167" fontId="1" fillId="3" borderId="7" xfId="0" applyNumberFormat="1" applyFont="1" applyFill="1" applyBorder="1"/>
    <xf numFmtId="0" fontId="2" fillId="0" borderId="0" xfId="0" applyFont="1" applyBorder="1"/>
    <xf numFmtId="0" fontId="8" fillId="0" borderId="0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13" xfId="0" applyFont="1" applyBorder="1"/>
    <xf numFmtId="0" fontId="2" fillId="0" borderId="10" xfId="0" applyFont="1" applyBorder="1"/>
    <xf numFmtId="0" fontId="2" fillId="0" borderId="10" xfId="0" applyFont="1" applyFill="1" applyBorder="1"/>
    <xf numFmtId="0" fontId="2" fillId="0" borderId="14" xfId="0" applyFont="1" applyFill="1" applyBorder="1"/>
    <xf numFmtId="0" fontId="0" fillId="0" borderId="12" xfId="0" applyFill="1" applyBorder="1"/>
    <xf numFmtId="0" fontId="2" fillId="0" borderId="0" xfId="0" applyFont="1" applyFill="1" applyBorder="1"/>
    <xf numFmtId="0" fontId="0" fillId="0" borderId="10" xfId="0" applyFont="1" applyFill="1" applyBorder="1"/>
    <xf numFmtId="0" fontId="0" fillId="0" borderId="11" xfId="0" applyFill="1" applyBorder="1"/>
    <xf numFmtId="11" fontId="0" fillId="0" borderId="11" xfId="0" applyNumberFormat="1" applyBorder="1"/>
    <xf numFmtId="0" fontId="2" fillId="0" borderId="11" xfId="0" applyFont="1" applyBorder="1"/>
    <xf numFmtId="0" fontId="15" fillId="0" borderId="10" xfId="0" applyFont="1" applyFill="1" applyBorder="1"/>
    <xf numFmtId="0" fontId="21" fillId="0" borderId="0" xfId="0" applyFont="1"/>
    <xf numFmtId="0" fontId="0" fillId="0" borderId="15" xfId="0" applyFont="1" applyFill="1" applyBorder="1"/>
    <xf numFmtId="0" fontId="0" fillId="0" borderId="16" xfId="0" applyFill="1" applyBorder="1"/>
    <xf numFmtId="0" fontId="2" fillId="0" borderId="17" xfId="0" applyFont="1" applyBorder="1"/>
    <xf numFmtId="0" fontId="0" fillId="0" borderId="17" xfId="0" applyBorder="1"/>
    <xf numFmtId="0" fontId="21" fillId="0" borderId="17" xfId="0" applyFont="1" applyBorder="1"/>
    <xf numFmtId="168" fontId="0" fillId="0" borderId="17" xfId="0" applyNumberFormat="1" applyBorder="1"/>
    <xf numFmtId="0" fontId="21" fillId="0" borderId="17" xfId="0" applyFont="1" applyFill="1" applyBorder="1"/>
    <xf numFmtId="11" fontId="0" fillId="0" borderId="17" xfId="0" applyNumberFormat="1" applyBorder="1"/>
    <xf numFmtId="0" fontId="2" fillId="0" borderId="17" xfId="0" applyFont="1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17" xfId="0" applyNumberFormat="1" applyBorder="1"/>
    <xf numFmtId="0" fontId="2" fillId="0" borderId="0" xfId="0" applyFont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9" xfId="0" applyBorder="1"/>
    <xf numFmtId="0" fontId="0" fillId="0" borderId="18" xfId="0" applyBorder="1" applyAlignment="1">
      <alignment horizontal="center"/>
    </xf>
    <xf numFmtId="11" fontId="0" fillId="0" borderId="18" xfId="0" applyNumberForma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11" fontId="1" fillId="0" borderId="7" xfId="0" applyNumberFormat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/>
    <xf numFmtId="11" fontId="0" fillId="0" borderId="0" xfId="0" applyNumberFormat="1" applyFill="1"/>
    <xf numFmtId="0" fontId="0" fillId="0" borderId="23" xfId="0" applyBorder="1" applyAlignment="1">
      <alignment horizontal="center"/>
    </xf>
    <xf numFmtId="0" fontId="1" fillId="0" borderId="23" xfId="0" applyFont="1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23" xfId="0" applyBorder="1"/>
    <xf numFmtId="0" fontId="0" fillId="0" borderId="24" xfId="0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Reactivity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Reactivity w/o Rod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Model!$M$3:$M$31</c:f>
              <c:numCache>
                <c:formatCode>General</c:formatCode>
                <c:ptCount val="29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</c:numCache>
            </c:numRef>
          </c:xVal>
          <c:yVal>
            <c:numRef>
              <c:f>Model!$O$3:$O$31</c:f>
              <c:numCache>
                <c:formatCode>General</c:formatCode>
                <c:ptCount val="29"/>
                <c:pt idx="0">
                  <c:v>0.36437281918222458</c:v>
                </c:pt>
                <c:pt idx="1">
                  <c:v>0.36436709806084661</c:v>
                </c:pt>
                <c:pt idx="2">
                  <c:v>0.3643700166190077</c:v>
                </c:pt>
                <c:pt idx="3">
                  <c:v>0.36438033312427365</c:v>
                </c:pt>
                <c:pt idx="4">
                  <c:v>0.36439712853560302</c:v>
                </c:pt>
                <c:pt idx="5">
                  <c:v>0.36441969354486287</c:v>
                </c:pt>
                <c:pt idx="6">
                  <c:v>0.36444746563626923</c:v>
                </c:pt>
                <c:pt idx="7">
                  <c:v>0.36447999138177911</c:v>
                </c:pt>
                <c:pt idx="8">
                  <c:v>0.36451690227881928</c:v>
                </c:pt>
                <c:pt idx="9">
                  <c:v>0.36455789835920138</c:v>
                </c:pt>
                <c:pt idx="10">
                  <c:v>0.36460273657554615</c:v>
                </c:pt>
                <c:pt idx="11">
                  <c:v>0.3646512223285841</c:v>
                </c:pt>
                <c:pt idx="12">
                  <c:v>0.3647032031936201</c:v>
                </c:pt>
                <c:pt idx="13">
                  <c:v>0.3647585642798738</c:v>
                </c:pt>
                <c:pt idx="14">
                  <c:v>0.36481722487197166</c:v>
                </c:pt>
                <c:pt idx="15">
                  <c:v>0.36487913613545131</c:v>
                </c:pt>
                <c:pt idx="16">
                  <c:v>0.36494427975640553</c:v>
                </c:pt>
                <c:pt idx="17">
                  <c:v>0.36501266745026939</c:v>
                </c:pt>
                <c:pt idx="18">
                  <c:v>0.36508434132993939</c:v>
                </c:pt>
                <c:pt idx="19">
                  <c:v>0.36515937518265595</c:v>
                </c:pt>
                <c:pt idx="20">
                  <c:v>0.36523787678985126</c:v>
                </c:pt>
                <c:pt idx="21">
                  <c:v>0.36531999157433048</c:v>
                </c:pt>
                <c:pt idx="22">
                  <c:v>0.36540590814590002</c:v>
                </c:pt>
                <c:pt idx="23">
                  <c:v>0.36549586685025676</c:v>
                </c:pt>
                <c:pt idx="24">
                  <c:v>0.36559017334060134</c:v>
                </c:pt>
                <c:pt idx="25">
                  <c:v>0.36568922059677028</c:v>
                </c:pt>
                <c:pt idx="26">
                  <c:v>0.36579352482468691</c:v>
                </c:pt>
                <c:pt idx="27">
                  <c:v>0.36590378395158674</c:v>
                </c:pt>
                <c:pt idx="28">
                  <c:v>0.36602097489478397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484-E045-9C0A-34ECB2E55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987903"/>
        <c:axId val="849129887"/>
      </c:scatterChart>
      <c:scatterChart>
        <c:scatterStyle val="lineMarker"/>
        <c:varyColors val="0"/>
        <c:ser>
          <c:idx val="0"/>
          <c:order val="0"/>
          <c:tx>
            <c:v>Reactivity w/ Rod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Model!$M$3:$M$31</c:f>
              <c:numCache>
                <c:formatCode>General</c:formatCode>
                <c:ptCount val="29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</c:numCache>
            </c:numRef>
          </c:xVal>
          <c:yVal>
            <c:numRef>
              <c:f>Model!$N$3:$N$31</c:f>
              <c:numCache>
                <c:formatCode>General</c:formatCode>
                <c:ptCount val="29"/>
                <c:pt idx="0">
                  <c:v>0.16777499997482473</c:v>
                </c:pt>
                <c:pt idx="1">
                  <c:v>0.1667007444687946</c:v>
                </c:pt>
                <c:pt idx="2">
                  <c:v>0.16548036884615366</c:v>
                </c:pt>
                <c:pt idx="3">
                  <c:v>0.16413363200132233</c:v>
                </c:pt>
                <c:pt idx="4">
                  <c:v>0.16267456521157234</c:v>
                </c:pt>
                <c:pt idx="5">
                  <c:v>0.16111351036405952</c:v>
                </c:pt>
                <c:pt idx="6">
                  <c:v>0.15945824577675674</c:v>
                </c:pt>
                <c:pt idx="7">
                  <c:v>0.15771465076950036</c:v>
                </c:pt>
                <c:pt idx="8">
                  <c:v>0.15588712186302653</c:v>
                </c:pt>
                <c:pt idx="9">
                  <c:v>0.15397884576394499</c:v>
                </c:pt>
                <c:pt idx="10">
                  <c:v>0.15199198364152924</c:v>
                </c:pt>
                <c:pt idx="11">
                  <c:v>0.14992779629525788</c:v>
                </c:pt>
                <c:pt idx="12">
                  <c:v>0.14778672690983335</c:v>
                </c:pt>
                <c:pt idx="13">
                  <c:v>0.14556845097794074</c:v>
                </c:pt>
                <c:pt idx="14">
                  <c:v>0.14327189872436452</c:v>
                </c:pt>
                <c:pt idx="15">
                  <c:v>0.14089525255962165</c:v>
                </c:pt>
                <c:pt idx="16">
                  <c:v>0.13843591997957483</c:v>
                </c:pt>
                <c:pt idx="17">
                  <c:v>0.13589048046431765</c:v>
                </c:pt>
                <c:pt idx="18">
                  <c:v>0.13325460296406222</c:v>
                </c:pt>
                <c:pt idx="19">
                  <c:v>0.13052292806707769</c:v>
                </c:pt>
                <c:pt idx="20">
                  <c:v>0.12768890520761117</c:v>
                </c:pt>
                <c:pt idx="21">
                  <c:v>0.12474456892898711</c:v>
                </c:pt>
                <c:pt idx="22">
                  <c:v>0.12168022672817216</c:v>
                </c:pt>
                <c:pt idx="23">
                  <c:v>0.11848400999502215</c:v>
                </c:pt>
                <c:pt idx="24">
                  <c:v>0.11514120227428259</c:v>
                </c:pt>
                <c:pt idx="25">
                  <c:v>0.11163319588957848</c:v>
                </c:pt>
                <c:pt idx="26">
                  <c:v>0.10793582229130444</c:v>
                </c:pt>
                <c:pt idx="27">
                  <c:v>0.1040166067525905</c:v>
                </c:pt>
                <c:pt idx="28">
                  <c:v>9.9830065051927874E-2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84-E045-9C0A-34ECB2E55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07519"/>
        <c:axId val="255218383"/>
      </c:scatterChart>
      <c:valAx>
        <c:axId val="8489879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129887"/>
        <c:crosses val="autoZero"/>
        <c:crossBetween val="midCat"/>
      </c:valAx>
      <c:valAx>
        <c:axId val="8491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987903"/>
        <c:crosses val="autoZero"/>
        <c:crossBetween val="midCat"/>
      </c:valAx>
      <c:valAx>
        <c:axId val="25521838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007519"/>
        <c:crosses val="max"/>
        <c:crossBetween val="midCat"/>
      </c:valAx>
      <c:valAx>
        <c:axId val="258007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52183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LR and AR vs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Absorption Rate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Model!$M$3:$M$31</c:f>
              <c:numCache>
                <c:formatCode>General</c:formatCode>
                <c:ptCount val="29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</c:numCache>
            </c:numRef>
          </c:xVal>
          <c:yVal>
            <c:numRef>
              <c:f>Model!$Q$3:$Q$31</c:f>
              <c:numCache>
                <c:formatCode>General</c:formatCode>
                <c:ptCount val="29"/>
                <c:pt idx="0">
                  <c:v>0.99176259509869757</c:v>
                </c:pt>
                <c:pt idx="1">
                  <c:v>0.99170838111958381</c:v>
                </c:pt>
                <c:pt idx="2">
                  <c:v>0.99163855908949794</c:v>
                </c:pt>
                <c:pt idx="3">
                  <c:v>0.99155524369633619</c:v>
                </c:pt>
                <c:pt idx="4">
                  <c:v>0.99145996048771357</c:v>
                </c:pt>
                <c:pt idx="5">
                  <c:v>0.99135385242941143</c:v>
                </c:pt>
                <c:pt idx="6">
                  <c:v>0.99123779391029854</c:v>
                </c:pt>
                <c:pt idx="7">
                  <c:v>0.99111245804193904</c:v>
                </c:pt>
                <c:pt idx="8">
                  <c:v>0.99097835885991337</c:v>
                </c:pt>
                <c:pt idx="9">
                  <c:v>0.99083587905503756</c:v>
                </c:pt>
                <c:pt idx="10">
                  <c:v>0.99068528870441297</c:v>
                </c:pt>
                <c:pt idx="11">
                  <c:v>0.99052675794168044</c:v>
                </c:pt>
                <c:pt idx="12">
                  <c:v>0.99036036519725934</c:v>
                </c:pt>
                <c:pt idx="13">
                  <c:v>0.99018610191538936</c:v>
                </c:pt>
                <c:pt idx="14">
                  <c:v>0.99000387421618152</c:v>
                </c:pt>
                <c:pt idx="15">
                  <c:v>0.9898135016701104</c:v>
                </c:pt>
                <c:pt idx="16">
                  <c:v>0.98961471311050253</c:v>
                </c:pt>
                <c:pt idx="17">
                  <c:v>0.98940713917667189</c:v>
                </c:pt>
                <c:pt idx="18">
                  <c:v>0.98919030101317462</c:v>
                </c:pt>
                <c:pt idx="19">
                  <c:v>0.98896359419374291</c:v>
                </c:pt>
                <c:pt idx="20">
                  <c:v>0.98872626639884764</c:v>
                </c:pt>
                <c:pt idx="21">
                  <c:v>0.98847738648140349</c:v>
                </c:pt>
                <c:pt idx="22">
                  <c:v>0.9882158009870653</c:v>
                </c:pt>
                <c:pt idx="23">
                  <c:v>0.98794007139055173</c:v>
                </c:pt>
                <c:pt idx="24">
                  <c:v>0.98764838033124913</c:v>
                </c:pt>
                <c:pt idx="25">
                  <c:v>0.98733838644497263</c:v>
                </c:pt>
                <c:pt idx="26">
                  <c:v>0.98700699205004838</c:v>
                </c:pt>
                <c:pt idx="27">
                  <c:v>0.98664995829676871</c:v>
                </c:pt>
                <c:pt idx="28">
                  <c:v>0.98626123585688552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1C-8A4C-AFEC-409D46161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304943"/>
        <c:axId val="426171007"/>
      </c:scatterChart>
      <c:scatterChart>
        <c:scatterStyle val="lineMarker"/>
        <c:varyColors val="0"/>
        <c:ser>
          <c:idx val="0"/>
          <c:order val="0"/>
          <c:tx>
            <c:v>Leakage Rate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Model!$M$3:$M$31</c:f>
              <c:numCache>
                <c:formatCode>General</c:formatCode>
                <c:ptCount val="29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</c:numCache>
            </c:numRef>
          </c:xVal>
          <c:yVal>
            <c:numRef>
              <c:f>Model!$P$3:$P$31</c:f>
              <c:numCache>
                <c:formatCode>General</c:formatCode>
                <c:ptCount val="29"/>
                <c:pt idx="0">
                  <c:v>3.5330358743499535E-3</c:v>
                </c:pt>
                <c:pt idx="1">
                  <c:v>3.5962082606614972E-3</c:v>
                </c:pt>
                <c:pt idx="2">
                  <c:v>3.6614602719153982E-3</c:v>
                </c:pt>
                <c:pt idx="3">
                  <c:v>3.7286215846225436E-3</c:v>
                </c:pt>
                <c:pt idx="4">
                  <c:v>3.7976057298616367E-3</c:v>
                </c:pt>
                <c:pt idx="5">
                  <c:v>3.8683804106636921E-3</c:v>
                </c:pt>
                <c:pt idx="6">
                  <c:v>3.9409520524468205E-3</c:v>
                </c:pt>
                <c:pt idx="7">
                  <c:v>4.0153575430987411E-3</c:v>
                </c:pt>
                <c:pt idx="8">
                  <c:v>4.0916598661040558E-3</c:v>
                </c:pt>
                <c:pt idx="9">
                  <c:v>4.1699460352720022E-3</c:v>
                </c:pt>
                <c:pt idx="10">
                  <c:v>4.2503265487856172E-3</c:v>
                </c:pt>
                <c:pt idx="11">
                  <c:v>4.332935985905481E-3</c:v>
                </c:pt>
                <c:pt idx="12">
                  <c:v>4.4179345901357936E-3</c:v>
                </c:pt>
                <c:pt idx="13">
                  <c:v>4.5055108187502411E-3</c:v>
                </c:pt>
                <c:pt idx="14">
                  <c:v>4.5958849396542161E-3</c:v>
                </c:pt>
                <c:pt idx="15">
                  <c:v>4.6893138497247884E-3</c:v>
                </c:pt>
                <c:pt idx="16">
                  <c:v>4.7860973924324472E-3</c:v>
                </c:pt>
                <c:pt idx="17">
                  <c:v>4.8865865838714408E-3</c:v>
                </c:pt>
                <c:pt idx="18">
                  <c:v>4.9911943370853753E-3</c:v>
                </c:pt>
                <c:pt idx="19">
                  <c:v>5.1004095387297936E-3</c:v>
                </c:pt>
                <c:pt idx="20">
                  <c:v>5.2148157389799703E-3</c:v>
                </c:pt>
                <c:pt idx="21">
                  <c:v>5.3351163748941209E-3</c:v>
                </c:pt>
                <c:pt idx="22">
                  <c:v>5.4621695665052067E-3</c:v>
                </c:pt>
                <c:pt idx="23">
                  <c:v>5.5970374942352326E-3</c:v>
                </c:pt>
                <c:pt idx="24">
                  <c:v>5.7410589122055961E-3</c:v>
                </c:pt>
                <c:pt idx="25">
                  <c:v>5.8959598378601381E-3</c:v>
                </c:pt>
                <c:pt idx="26">
                  <c:v>6.0640296527941333E-3</c:v>
                </c:pt>
                <c:pt idx="27">
                  <c:v>6.2484143586603036E-3</c:v>
                </c:pt>
                <c:pt idx="28">
                  <c:v>6.45363357955936E-3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1C-8A4C-AFEC-409D46161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030079"/>
        <c:axId val="421381599"/>
      </c:scatterChart>
      <c:valAx>
        <c:axId val="913304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171007"/>
        <c:crosses val="autoZero"/>
        <c:crossBetween val="midCat"/>
      </c:valAx>
      <c:valAx>
        <c:axId val="426171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Absoption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304943"/>
        <c:crosses val="autoZero"/>
        <c:crossBetween val="midCat"/>
      </c:valAx>
      <c:valAx>
        <c:axId val="421381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Leakage</a:t>
                </a:r>
                <a:r>
                  <a:rPr lang="en-US" baseline="0"/>
                  <a:t>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30079"/>
        <c:crosses val="max"/>
        <c:crossBetween val="midCat"/>
      </c:valAx>
      <c:valAx>
        <c:axId val="4260300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138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Thermal Utilization vs T</a:t>
            </a:r>
          </a:p>
        </c:rich>
      </c:tx>
      <c:layout>
        <c:manualLayout>
          <c:xMode val="edge"/>
          <c:yMode val="edge"/>
          <c:x val="0.4328909839241003"/>
          <c:y val="2.1797849344250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Model!$M$3:$M$31</c:f>
              <c:numCache>
                <c:formatCode>General</c:formatCode>
                <c:ptCount val="29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</c:numCache>
            </c:numRef>
          </c:xVal>
          <c:yVal>
            <c:numRef>
              <c:f>Model!$R$3:$R$31</c:f>
              <c:numCache>
                <c:formatCode>General</c:formatCode>
                <c:ptCount val="29"/>
                <c:pt idx="0">
                  <c:v>0.76352392379725564</c:v>
                </c:pt>
                <c:pt idx="1">
                  <c:v>0.76356566355749722</c:v>
                </c:pt>
                <c:pt idx="2">
                  <c:v>0.76361942680040951</c:v>
                </c:pt>
                <c:pt idx="3">
                  <c:v>0.76368358989487573</c:v>
                </c:pt>
                <c:pt idx="4">
                  <c:v>0.76375698289683003</c:v>
                </c:pt>
                <c:pt idx="5">
                  <c:v>0.7638387304688713</c:v>
                </c:pt>
                <c:pt idx="6">
                  <c:v>0.76392816409664854</c:v>
                </c:pt>
                <c:pt idx="7">
                  <c:v>0.76402477028803928</c:v>
                </c:pt>
                <c:pt idx="8">
                  <c:v>0.76412815811263401</c:v>
                </c:pt>
                <c:pt idx="9">
                  <c:v>0.76423803789511802</c:v>
                </c:pt>
                <c:pt idx="10">
                  <c:v>0.76435420684947675</c:v>
                </c:pt>
                <c:pt idx="11">
                  <c:v>0.76447653939066063</c:v>
                </c:pt>
                <c:pt idx="12">
                  <c:v>0.7646049808690405</c:v>
                </c:pt>
                <c:pt idx="13">
                  <c:v>0.76473954403150324</c:v>
                </c:pt>
                <c:pt idx="14">
                  <c:v>0.76488030785196037</c:v>
                </c:pt>
                <c:pt idx="15">
                  <c:v>0.76502741860706702</c:v>
                </c:pt>
                <c:pt idx="16">
                  <c:v>0.76518109326104167</c:v>
                </c:pt>
                <c:pt idx="17">
                  <c:v>0.76534162540532469</c:v>
                </c:pt>
                <c:pt idx="18">
                  <c:v>0.76550939420808284</c:v>
                </c:pt>
                <c:pt idx="19">
                  <c:v>0.7656848771085909</c:v>
                </c:pt>
                <c:pt idx="20">
                  <c:v>0.7658686674150128</c:v>
                </c:pt>
                <c:pt idx="21">
                  <c:v>0.76606149866570816</c:v>
                </c:pt>
                <c:pt idx="22">
                  <c:v>0.76626427884350112</c:v>
                </c:pt>
                <c:pt idx="23">
                  <c:v>0.76647813973096457</c:v>
                </c:pt>
                <c:pt idx="24">
                  <c:v>0.76670451059833278</c:v>
                </c:pt>
                <c:pt idx="25">
                  <c:v>0.76694523223351796</c:v>
                </c:pt>
                <c:pt idx="26">
                  <c:v>0.76720273937705719</c:v>
                </c:pt>
                <c:pt idx="27">
                  <c:v>0.76748036293672273</c:v>
                </c:pt>
                <c:pt idx="28">
                  <c:v>0.76778285565203663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85-0840-8F44-E379B355C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047055"/>
        <c:axId val="425925391"/>
      </c:scatterChart>
      <c:valAx>
        <c:axId val="42604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25391"/>
        <c:crosses val="autoZero"/>
        <c:crossBetween val="midCat"/>
      </c:valAx>
      <c:valAx>
        <c:axId val="42592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Thermal 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47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LR</a:t>
            </a:r>
            <a:r>
              <a:rPr lang="en-US" baseline="0"/>
              <a:t> and AR vs HDR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Absorption Rate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Model!$T$3:$T$22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Model!$V$3:$V$22</c:f>
              <c:numCache>
                <c:formatCode>General</c:formatCode>
                <c:ptCount val="20"/>
                <c:pt idx="0">
                  <c:v>0.98919030101317462</c:v>
                </c:pt>
                <c:pt idx="1">
                  <c:v>0.98919030101317462</c:v>
                </c:pt>
                <c:pt idx="2">
                  <c:v>0.98919030101317462</c:v>
                </c:pt>
                <c:pt idx="3">
                  <c:v>0.98919030101317462</c:v>
                </c:pt>
                <c:pt idx="4">
                  <c:v>0.98919030101317462</c:v>
                </c:pt>
                <c:pt idx="5">
                  <c:v>0.98919030101317462</c:v>
                </c:pt>
                <c:pt idx="6">
                  <c:v>0.98919030101317462</c:v>
                </c:pt>
                <c:pt idx="7">
                  <c:v>0.98919030101317462</c:v>
                </c:pt>
                <c:pt idx="8">
                  <c:v>0.98919030101317462</c:v>
                </c:pt>
                <c:pt idx="9">
                  <c:v>0.98919030101317462</c:v>
                </c:pt>
                <c:pt idx="10">
                  <c:v>0.98919030101317462</c:v>
                </c:pt>
                <c:pt idx="11">
                  <c:v>0.98919030101317462</c:v>
                </c:pt>
                <c:pt idx="12">
                  <c:v>0.98919030101317462</c:v>
                </c:pt>
                <c:pt idx="13">
                  <c:v>0.98919030101317462</c:v>
                </c:pt>
                <c:pt idx="14">
                  <c:v>0.98919030101317462</c:v>
                </c:pt>
                <c:pt idx="15">
                  <c:v>0.98919030101317462</c:v>
                </c:pt>
                <c:pt idx="16">
                  <c:v>0.98919030101317462</c:v>
                </c:pt>
                <c:pt idx="17">
                  <c:v>0.98919030101317462</c:v>
                </c:pt>
                <c:pt idx="18">
                  <c:v>0.98919030101317462</c:v>
                </c:pt>
                <c:pt idx="19">
                  <c:v>0.98919030101317462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8-F841-AF05-041FC5EE6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84975"/>
        <c:axId val="797250431"/>
      </c:scatterChart>
      <c:scatterChart>
        <c:scatterStyle val="lineMarker"/>
        <c:varyColors val="0"/>
        <c:ser>
          <c:idx val="0"/>
          <c:order val="0"/>
          <c:tx>
            <c:v>Leakage Rate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Model!$T$3:$T$22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Model!$U$3:$U$22</c:f>
              <c:numCache>
                <c:formatCode>General</c:formatCode>
                <c:ptCount val="20"/>
                <c:pt idx="0">
                  <c:v>6.353147146614896E-4</c:v>
                </c:pt>
                <c:pt idx="1">
                  <c:v>7.7954141631868929E-4</c:v>
                </c:pt>
                <c:pt idx="2">
                  <c:v>9.6335587778682309E-4</c:v>
                </c:pt>
                <c:pt idx="3">
                  <c:v>1.1406979339133045E-3</c:v>
                </c:pt>
                <c:pt idx="4">
                  <c:v>1.3082365654140109E-3</c:v>
                </c:pt>
                <c:pt idx="5">
                  <c:v>1.4668030098707102E-3</c:v>
                </c:pt>
                <c:pt idx="6">
                  <c:v>1.6176434631097066E-3</c:v>
                </c:pt>
                <c:pt idx="7">
                  <c:v>1.7618627621316899E-3</c:v>
                </c:pt>
                <c:pt idx="8">
                  <c:v>1.9003640242878949E-3</c:v>
                </c:pt>
                <c:pt idx="9">
                  <c:v>2.0338758704277235E-3</c:v>
                </c:pt>
                <c:pt idx="10">
                  <c:v>2.162989126204295E-3</c:v>
                </c:pt>
                <c:pt idx="11">
                  <c:v>2.2881879118100768E-3</c:v>
                </c:pt>
                <c:pt idx="12">
                  <c:v>2.4098735750111783E-3</c:v>
                </c:pt>
                <c:pt idx="13">
                  <c:v>2.5283826737931532E-3</c:v>
                </c:pt>
                <c:pt idx="14">
                  <c:v>2.6440004696264975E-3</c:v>
                </c:pt>
                <c:pt idx="15">
                  <c:v>2.7569711256530726E-3</c:v>
                </c:pt>
                <c:pt idx="16">
                  <c:v>2.8675054959822061E-3</c:v>
                </c:pt>
                <c:pt idx="17">
                  <c:v>2.9757871443253652E-3</c:v>
                </c:pt>
                <c:pt idx="18">
                  <c:v>3.081977048807868E-3</c:v>
                </c:pt>
                <c:pt idx="19">
                  <c:v>3.1862173212064255E-3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78-F841-AF05-041FC5EE6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02911"/>
        <c:axId val="798580191"/>
      </c:scatterChart>
      <c:valAx>
        <c:axId val="447384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HDR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250431"/>
        <c:crosses val="autoZero"/>
        <c:crossBetween val="midCat"/>
      </c:valAx>
      <c:valAx>
        <c:axId val="79725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Absroption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84975"/>
        <c:crosses val="autoZero"/>
        <c:crossBetween val="midCat"/>
      </c:valAx>
      <c:valAx>
        <c:axId val="7985801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Leakage</a:t>
                </a:r>
                <a:r>
                  <a:rPr lang="en-US" baseline="0"/>
                  <a:t>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302911"/>
        <c:crosses val="max"/>
        <c:crossBetween val="midCat"/>
      </c:valAx>
      <c:valAx>
        <c:axId val="44730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858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Ractivity w/o Rod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Model!$T$3:$T$22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Model!$W$3:$W$22</c:f>
              <c:numCache>
                <c:formatCode>General</c:formatCode>
                <c:ptCount val="20"/>
                <c:pt idx="0">
                  <c:v>0.36786614343799851</c:v>
                </c:pt>
                <c:pt idx="1">
                  <c:v>0.36777403571751821</c:v>
                </c:pt>
                <c:pt idx="2">
                  <c:v>0.36765664600505421</c:v>
                </c:pt>
                <c:pt idx="3">
                  <c:v>0.36754338977477624</c:v>
                </c:pt>
                <c:pt idx="4">
                  <c:v>0.36743639432065706</c:v>
                </c:pt>
                <c:pt idx="5">
                  <c:v>0.36733512878816021</c:v>
                </c:pt>
                <c:pt idx="6">
                  <c:v>0.36723879731732689</c:v>
                </c:pt>
                <c:pt idx="7">
                  <c:v>0.36714669432440283</c:v>
                </c:pt>
                <c:pt idx="8">
                  <c:v>0.36705824305016382</c:v>
                </c:pt>
                <c:pt idx="9">
                  <c:v>0.36697297817435537</c:v>
                </c:pt>
                <c:pt idx="10">
                  <c:v>0.36689052237708109</c:v>
                </c:pt>
                <c:pt idx="11">
                  <c:v>0.36681056648391736</c:v>
                </c:pt>
                <c:pt idx="12">
                  <c:v>0.36673285418152246</c:v>
                </c:pt>
                <c:pt idx="13">
                  <c:v>0.36665717053335212</c:v>
                </c:pt>
                <c:pt idx="14">
                  <c:v>0.36658333336243432</c:v>
                </c:pt>
                <c:pt idx="15">
                  <c:v>0.36651118673848593</c:v>
                </c:pt>
                <c:pt idx="16">
                  <c:v>0.36644059600342249</c:v>
                </c:pt>
                <c:pt idx="17">
                  <c:v>0.36637144392766857</c:v>
                </c:pt>
                <c:pt idx="18">
                  <c:v>0.36630362770551606</c:v>
                </c:pt>
                <c:pt idx="19">
                  <c:v>0.36623705657990219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16-DC48-AF53-FFEEB7344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575263"/>
        <c:axId val="448825039"/>
      </c:scatterChart>
      <c:valAx>
        <c:axId val="4205752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HDR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825039"/>
        <c:crosses val="autoZero"/>
        <c:crossBetween val="midCat"/>
      </c:valAx>
      <c:valAx>
        <c:axId val="44882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75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Fractional Insertion Depth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847080163375437E-2"/>
          <c:y val="0.17162136161918665"/>
          <c:w val="0.83791479002437563"/>
          <c:h val="0.6870423225854591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Model!$T$3:$T$22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Model!$Y$3:$Y$22</c:f>
              <c:numCache>
                <c:formatCode>General</c:formatCode>
                <c:ptCount val="20"/>
                <c:pt idx="0">
                  <c:v>0.65936161956403971</c:v>
                </c:pt>
                <c:pt idx="1">
                  <c:v>0.65923258466549306</c:v>
                </c:pt>
                <c:pt idx="2">
                  <c:v>0.65906821474130939</c:v>
                </c:pt>
                <c:pt idx="3">
                  <c:v>0.65890972035523065</c:v>
                </c:pt>
                <c:pt idx="4">
                  <c:v>0.65876006653451569</c:v>
                </c:pt>
                <c:pt idx="5">
                  <c:v>0.65861849769532455</c:v>
                </c:pt>
                <c:pt idx="6">
                  <c:v>0.65848389022871612</c:v>
                </c:pt>
                <c:pt idx="7">
                  <c:v>0.6583552492196485</c:v>
                </c:pt>
                <c:pt idx="8">
                  <c:v>0.65823176173279618</c:v>
                </c:pt>
                <c:pt idx="9">
                  <c:v>0.65811277199554874</c:v>
                </c:pt>
                <c:pt idx="10">
                  <c:v>0.65799774826727597</c:v>
                </c:pt>
                <c:pt idx="11">
                  <c:v>0.6578862548270743</c:v>
                </c:pt>
                <c:pt idx="12">
                  <c:v>0.65777793042654331</c:v>
                </c:pt>
                <c:pt idx="13">
                  <c:v>0.65767247210835778</c:v>
                </c:pt>
                <c:pt idx="14">
                  <c:v>0.65756962306479816</c:v>
                </c:pt>
                <c:pt idx="15">
                  <c:v>0.65746916346319106</c:v>
                </c:pt>
                <c:pt idx="16">
                  <c:v>0.6573709034405254</c:v>
                </c:pt>
                <c:pt idx="17">
                  <c:v>0.65727467768727443</c:v>
                </c:pt>
                <c:pt idx="18">
                  <c:v>0.65718034121767044</c:v>
                </c:pt>
                <c:pt idx="19">
                  <c:v>0.65708776602214114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6B-1845-B25A-E97E55B09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425343"/>
        <c:axId val="449036207"/>
      </c:scatterChart>
      <c:valAx>
        <c:axId val="924425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HDR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36207"/>
        <c:crosses val="autoZero"/>
        <c:crossBetween val="midCat"/>
      </c:valAx>
      <c:valAx>
        <c:axId val="44903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Insertion Depth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425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Reactivity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Reactivity of Boron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Model!$AA$3:$AA$52</c:f>
              <c:numCache>
                <c:formatCode>General</c:formatCode>
                <c:ptCount val="5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</c:numCache>
            </c:numRef>
          </c:xVal>
          <c:yVal>
            <c:numRef>
              <c:f>Model!$AB$3:$AB$52</c:f>
              <c:numCache>
                <c:formatCode>General</c:formatCode>
                <c:ptCount val="50"/>
                <c:pt idx="0">
                  <c:v>0.48307853165806308</c:v>
                </c:pt>
                <c:pt idx="1">
                  <c:v>0.46996806606604929</c:v>
                </c:pt>
                <c:pt idx="2">
                  <c:v>0.45685760047403556</c:v>
                </c:pt>
                <c:pt idx="3">
                  <c:v>0.44374713488202183</c:v>
                </c:pt>
                <c:pt idx="4">
                  <c:v>0.4306366692900081</c:v>
                </c:pt>
                <c:pt idx="5">
                  <c:v>0.41752620369799431</c:v>
                </c:pt>
                <c:pt idx="6">
                  <c:v>0.40441573810598058</c:v>
                </c:pt>
                <c:pt idx="7">
                  <c:v>0.39130527251396685</c:v>
                </c:pt>
                <c:pt idx="8">
                  <c:v>0.37819480692195312</c:v>
                </c:pt>
                <c:pt idx="9">
                  <c:v>0.36508434132993939</c:v>
                </c:pt>
                <c:pt idx="10">
                  <c:v>0.35197387573792566</c:v>
                </c:pt>
                <c:pt idx="11">
                  <c:v>0.33886341014591181</c:v>
                </c:pt>
                <c:pt idx="12">
                  <c:v>0.32575294455389797</c:v>
                </c:pt>
                <c:pt idx="13">
                  <c:v>0.31264247896188441</c:v>
                </c:pt>
                <c:pt idx="14">
                  <c:v>0.29953201336987056</c:v>
                </c:pt>
                <c:pt idx="15">
                  <c:v>0.28642154777785694</c:v>
                </c:pt>
                <c:pt idx="16">
                  <c:v>0.27331108218584316</c:v>
                </c:pt>
                <c:pt idx="17">
                  <c:v>0.26020061659382943</c:v>
                </c:pt>
                <c:pt idx="18">
                  <c:v>0.24709015100181575</c:v>
                </c:pt>
                <c:pt idx="19">
                  <c:v>0.23397968540980196</c:v>
                </c:pt>
                <c:pt idx="20">
                  <c:v>0.22086921981778826</c:v>
                </c:pt>
                <c:pt idx="21">
                  <c:v>0.20775875422577431</c:v>
                </c:pt>
                <c:pt idx="22">
                  <c:v>0.19464828863376063</c:v>
                </c:pt>
                <c:pt idx="23">
                  <c:v>0.18153782304174695</c:v>
                </c:pt>
                <c:pt idx="24">
                  <c:v>0.16842735744973314</c:v>
                </c:pt>
                <c:pt idx="25">
                  <c:v>0.15531689185771949</c:v>
                </c:pt>
                <c:pt idx="26">
                  <c:v>0.1422064262657057</c:v>
                </c:pt>
                <c:pt idx="27">
                  <c:v>0.12909596067369197</c:v>
                </c:pt>
                <c:pt idx="28">
                  <c:v>0.11598549508167826</c:v>
                </c:pt>
                <c:pt idx="29">
                  <c:v>0.10287502948966441</c:v>
                </c:pt>
                <c:pt idx="30">
                  <c:v>8.9764563897650543E-2</c:v>
                </c:pt>
                <c:pt idx="31">
                  <c:v>7.665409830563702E-2</c:v>
                </c:pt>
                <c:pt idx="32">
                  <c:v>6.3543632713623219E-2</c:v>
                </c:pt>
                <c:pt idx="33">
                  <c:v>5.0433167121609432E-2</c:v>
                </c:pt>
                <c:pt idx="34">
                  <c:v>3.7322701529595617E-2</c:v>
                </c:pt>
                <c:pt idx="35">
                  <c:v>2.421223593758183E-2</c:v>
                </c:pt>
                <c:pt idx="36">
                  <c:v>1.1101770345568177E-2</c:v>
                </c:pt>
                <c:pt idx="37">
                  <c:v>-2.0086952464453481E-3</c:v>
                </c:pt>
                <c:pt idx="38">
                  <c:v>-1.5119160838459244E-2</c:v>
                </c:pt>
                <c:pt idx="39">
                  <c:v>-2.8229626430472981E-2</c:v>
                </c:pt>
                <c:pt idx="40">
                  <c:v>-4.1340092022486792E-2</c:v>
                </c:pt>
                <c:pt idx="41">
                  <c:v>-5.4450557614500426E-2</c:v>
                </c:pt>
                <c:pt idx="42">
                  <c:v>-6.7561023206514234E-2</c:v>
                </c:pt>
                <c:pt idx="43">
                  <c:v>-8.0671488798528146E-2</c:v>
                </c:pt>
                <c:pt idx="44">
                  <c:v>-9.3781954390541725E-2</c:v>
                </c:pt>
                <c:pt idx="45">
                  <c:v>-0.10689241998255547</c:v>
                </c:pt>
                <c:pt idx="46">
                  <c:v>-0.12000288557456924</c:v>
                </c:pt>
                <c:pt idx="47">
                  <c:v>-0.13311335116658285</c:v>
                </c:pt>
                <c:pt idx="48">
                  <c:v>-0.14622381675859669</c:v>
                </c:pt>
                <c:pt idx="49">
                  <c:v>-0.15933428235061056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55-E84D-BAFF-77B7FA8C9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84863"/>
        <c:axId val="427093711"/>
      </c:scatterChart>
      <c:valAx>
        <c:axId val="427784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Mass</a:t>
                </a:r>
                <a:r>
                  <a:rPr lang="en-US" baseline="0"/>
                  <a:t> of Boron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93711"/>
        <c:crosses val="autoZero"/>
        <c:crossBetween val="midCat"/>
      </c:valAx>
      <c:valAx>
        <c:axId val="42709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84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Reactivity vs Fuel Density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Model!$AD$3:$AD$22</c:f>
              <c:numCache>
                <c:formatCode>General</c:formatCode>
                <c:ptCount val="2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xVal>
          <c:yVal>
            <c:numRef>
              <c:f>Model!$AE$3:$AE$22</c:f>
              <c:numCache>
                <c:formatCode>General</c:formatCode>
                <c:ptCount val="20"/>
                <c:pt idx="0">
                  <c:v>0.36508434132993939</c:v>
                </c:pt>
                <c:pt idx="1">
                  <c:v>0.43850921089857131</c:v>
                </c:pt>
                <c:pt idx="2">
                  <c:v>0.46299429198617686</c:v>
                </c:pt>
                <c:pt idx="3">
                  <c:v>0.47523881632487269</c:v>
                </c:pt>
                <c:pt idx="4">
                  <c:v>0.48258617720524571</c:v>
                </c:pt>
                <c:pt idx="5">
                  <c:v>0.48748468978107634</c:v>
                </c:pt>
                <c:pt idx="6">
                  <c:v>0.49098376141638267</c:v>
                </c:pt>
                <c:pt idx="7">
                  <c:v>0.49360813880099658</c:v>
                </c:pt>
                <c:pt idx="8">
                  <c:v>0.4956493650072592</c:v>
                </c:pt>
                <c:pt idx="9">
                  <c:v>0.49728237363535865</c:v>
                </c:pt>
                <c:pt idx="10">
                  <c:v>0.49861848993122665</c:v>
                </c:pt>
                <c:pt idx="11">
                  <c:v>0.49973193279910222</c:v>
                </c:pt>
                <c:pt idx="12">
                  <c:v>0.50067408573865158</c:v>
                </c:pt>
                <c:pt idx="13">
                  <c:v>0.50148165195652639</c:v>
                </c:pt>
                <c:pt idx="14">
                  <c:v>0.502181547578336</c:v>
                </c:pt>
                <c:pt idx="15">
                  <c:v>0.50279395998284271</c:v>
                </c:pt>
                <c:pt idx="16">
                  <c:v>0.50333432676666368</c:v>
                </c:pt>
                <c:pt idx="17">
                  <c:v>0.5038146550786986</c:v>
                </c:pt>
                <c:pt idx="18">
                  <c:v>0.50424442433739369</c:v>
                </c:pt>
                <c:pt idx="19">
                  <c:v>0.50463121814195877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D-E345-B69F-E86654207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314191"/>
        <c:axId val="427638095"/>
      </c:scatterChart>
      <c:valAx>
        <c:axId val="422314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Density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638095"/>
        <c:crosses val="autoZero"/>
        <c:crossBetween val="midCat"/>
      </c:valAx>
      <c:valAx>
        <c:axId val="42763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14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LR</a:t>
            </a:r>
            <a:r>
              <a:rPr lang="en-US" baseline="0"/>
              <a:t> and AR vs Volume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Absorption Rate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Model!$AG$3:$AG$22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Model!$AI$3:$AI$22</c:f>
              <c:numCache>
                <c:formatCode>General</c:formatCode>
                <c:ptCount val="20"/>
                <c:pt idx="0">
                  <c:v>0.98919030101317462</c:v>
                </c:pt>
                <c:pt idx="1">
                  <c:v>0.88535053193123836</c:v>
                </c:pt>
                <c:pt idx="2">
                  <c:v>0.85072142203986978</c:v>
                </c:pt>
                <c:pt idx="3">
                  <c:v>0.83340376077266676</c:v>
                </c:pt>
                <c:pt idx="4">
                  <c:v>0.82301215204047085</c:v>
                </c:pt>
                <c:pt idx="5">
                  <c:v>0.81608398699234008</c:v>
                </c:pt>
                <c:pt idx="6">
                  <c:v>0.81113508772154186</c:v>
                </c:pt>
                <c:pt idx="7">
                  <c:v>0.80742329793099188</c:v>
                </c:pt>
                <c:pt idx="8">
                  <c:v>0.80453628173822367</c:v>
                </c:pt>
                <c:pt idx="9">
                  <c:v>0.80222662546781198</c:v>
                </c:pt>
                <c:pt idx="10">
                  <c:v>0.8003368780031509</c:v>
                </c:pt>
                <c:pt idx="11">
                  <c:v>0.79876206868619803</c:v>
                </c:pt>
                <c:pt idx="12">
                  <c:v>0.79742952367311426</c:v>
                </c:pt>
                <c:pt idx="13">
                  <c:v>0.79628733196856161</c:v>
                </c:pt>
                <c:pt idx="14">
                  <c:v>0.79529742481917276</c:v>
                </c:pt>
                <c:pt idx="15">
                  <c:v>0.79443125021435179</c:v>
                </c:pt>
                <c:pt idx="16">
                  <c:v>0.79366697396718389</c:v>
                </c:pt>
                <c:pt idx="17">
                  <c:v>0.79298761372981341</c:v>
                </c:pt>
                <c:pt idx="18">
                  <c:v>0.79237976224400997</c:v>
                </c:pt>
                <c:pt idx="19">
                  <c:v>0.79183269360226616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BD-D844-B8F5-F61CDCDF9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15695"/>
        <c:axId val="466804127"/>
      </c:scatterChart>
      <c:scatterChart>
        <c:scatterStyle val="lineMarker"/>
        <c:varyColors val="0"/>
        <c:ser>
          <c:idx val="0"/>
          <c:order val="0"/>
          <c:tx>
            <c:v>Leakage Rate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Model!$AG$3:$AG$22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Model!$AH$3:$AH$22</c:f>
              <c:numCache>
                <c:formatCode>General</c:formatCode>
                <c:ptCount val="20"/>
                <c:pt idx="0">
                  <c:v>4.9911943370853753E-3</c:v>
                </c:pt>
                <c:pt idx="1">
                  <c:v>3.1835527032116288E-3</c:v>
                </c:pt>
                <c:pt idx="2">
                  <c:v>2.44429526475346E-3</c:v>
                </c:pt>
                <c:pt idx="3">
                  <c:v>2.0254931350931057E-3</c:v>
                </c:pt>
                <c:pt idx="4">
                  <c:v>1.750311028015009E-3</c:v>
                </c:pt>
                <c:pt idx="5">
                  <c:v>1.5532393776107143E-3</c:v>
                </c:pt>
                <c:pt idx="6">
                  <c:v>1.4038988485928006E-3</c:v>
                </c:pt>
                <c:pt idx="7">
                  <c:v>1.2861054388455153E-3</c:v>
                </c:pt>
                <c:pt idx="8">
                  <c:v>1.1903768607447714E-3</c:v>
                </c:pt>
                <c:pt idx="9">
                  <c:v>1.1107566271919473E-3</c:v>
                </c:pt>
                <c:pt idx="10">
                  <c:v>1.0432980770306924E-3</c:v>
                </c:pt>
                <c:pt idx="11">
                  <c:v>9.8527347655418202E-4</c:v>
                </c:pt>
                <c:pt idx="12">
                  <c:v>9.3473181863054752E-4</c:v>
                </c:pt>
                <c:pt idx="13">
                  <c:v>8.9023744999051208E-4</c:v>
                </c:pt>
                <c:pt idx="14">
                  <c:v>8.5070835957524191E-4</c:v>
                </c:pt>
                <c:pt idx="15">
                  <c:v>8.1531222611637899E-4</c:v>
                </c:pt>
                <c:pt idx="16">
                  <c:v>7.8339738603731271E-4</c:v>
                </c:pt>
                <c:pt idx="17">
                  <c:v>7.5444568920534174E-4</c:v>
                </c:pt>
                <c:pt idx="18">
                  <c:v>7.2803950819157529E-4</c:v>
                </c:pt>
                <c:pt idx="19">
                  <c:v>7.038381521758452E-4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BD-D844-B8F5-F61CDCDF9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308863"/>
        <c:axId val="469040767"/>
      </c:scatterChart>
      <c:valAx>
        <c:axId val="424915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04127"/>
        <c:crosses val="autoZero"/>
        <c:crossBetween val="midCat"/>
      </c:valAx>
      <c:valAx>
        <c:axId val="4668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Absorbiton</a:t>
                </a:r>
                <a:r>
                  <a:rPr lang="en-US" baseline="0"/>
                  <a:t> Rate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915695"/>
        <c:crosses val="autoZero"/>
        <c:crossBetween val="midCat"/>
      </c:valAx>
      <c:valAx>
        <c:axId val="4690407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Leakage</a:t>
                </a:r>
                <a:r>
                  <a:rPr lang="en-US" baseline="0"/>
                  <a:t> Rate</a:t>
                </a:r>
              </a:p>
            </c:rich>
          </c:tx>
          <c:layout>
            <c:manualLayout>
              <c:xMode val="edge"/>
              <c:yMode val="edge"/>
              <c:x val="0.96114870031132515"/>
              <c:y val="0.416989823686260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08863"/>
        <c:crosses val="max"/>
        <c:crossBetween val="midCat"/>
      </c:valAx>
      <c:valAx>
        <c:axId val="4273088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0407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Reactivity w/o</a:t>
            </a:r>
            <a:r>
              <a:rPr lang="en-US" baseline="0"/>
              <a:t> control Rod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Reactivity w/o Rod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Model!$AG$3:$AG$22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Model!$AJ$3:$AJ$22</c:f>
              <c:numCache>
                <c:formatCode>General</c:formatCode>
                <c:ptCount val="20"/>
                <c:pt idx="0">
                  <c:v>0.36508434132993939</c:v>
                </c:pt>
                <c:pt idx="1">
                  <c:v>0.43255410985322396</c:v>
                </c:pt>
                <c:pt idx="2">
                  <c:v>0.45514146472185402</c:v>
                </c:pt>
                <c:pt idx="3">
                  <c:v>0.46646852964185581</c:v>
                </c:pt>
                <c:pt idx="4">
                  <c:v>0.47328067869440621</c:v>
                </c:pt>
                <c:pt idx="5">
                  <c:v>0.47783107957471699</c:v>
                </c:pt>
                <c:pt idx="6">
                  <c:v>0.48108697630554254</c:v>
                </c:pt>
                <c:pt idx="7">
                  <c:v>0.48353266891943686</c:v>
                </c:pt>
                <c:pt idx="8">
                  <c:v>0.48543754380364879</c:v>
                </c:pt>
                <c:pt idx="9">
                  <c:v>0.48696341113507108</c:v>
                </c:pt>
                <c:pt idx="10">
                  <c:v>0.4882133446249477</c:v>
                </c:pt>
                <c:pt idx="11">
                  <c:v>0.48925612386297629</c:v>
                </c:pt>
                <c:pt idx="12">
                  <c:v>0.49013940663259886</c:v>
                </c:pt>
                <c:pt idx="13">
                  <c:v>0.49089726178612919</c:v>
                </c:pt>
                <c:pt idx="14">
                  <c:v>0.49155469223651571</c:v>
                </c:pt>
                <c:pt idx="15">
                  <c:v>0.4921304637448467</c:v>
                </c:pt>
                <c:pt idx="16">
                  <c:v>0.49263893648443297</c:v>
                </c:pt>
                <c:pt idx="17">
                  <c:v>0.49309128682524228</c:v>
                </c:pt>
                <c:pt idx="18">
                  <c:v>0.49349634377528329</c:v>
                </c:pt>
                <c:pt idx="19">
                  <c:v>0.49386117481328012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C5-3040-BEB2-8EFACD45A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048783"/>
        <c:axId val="911864031"/>
      </c:scatterChart>
      <c:valAx>
        <c:axId val="924048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864031"/>
        <c:crosses val="autoZero"/>
        <c:crossBetween val="midCat"/>
      </c:valAx>
      <c:valAx>
        <c:axId val="91186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048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Reactivity</a:t>
            </a:r>
            <a:r>
              <a:rPr lang="en-US" baseline="0"/>
              <a:t> w/ Rod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Model!$AG$3:$AG$22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Model!$AK$3:$AK$22</c:f>
              <c:numCache>
                <c:formatCode>General</c:formatCode>
                <c:ptCount val="20"/>
                <c:pt idx="0">
                  <c:v>0.13325460296406222</c:v>
                </c:pt>
                <c:pt idx="1">
                  <c:v>0.27477632987514555</c:v>
                </c:pt>
                <c:pt idx="2">
                  <c:v>0.33098705133204098</c:v>
                </c:pt>
                <c:pt idx="3">
                  <c:v>0.36242213705787463</c:v>
                </c:pt>
                <c:pt idx="4">
                  <c:v>0.38289256460902255</c:v>
                </c:pt>
                <c:pt idx="5">
                  <c:v>0.3974436982731207</c:v>
                </c:pt>
                <c:pt idx="6">
                  <c:v>0.40839740772148514</c:v>
                </c:pt>
                <c:pt idx="7">
                  <c:v>0.41698430490166327</c:v>
                </c:pt>
                <c:pt idx="8">
                  <c:v>0.42392258675635902</c:v>
                </c:pt>
                <c:pt idx="9">
                  <c:v>0.42966191452709157</c:v>
                </c:pt>
                <c:pt idx="10">
                  <c:v>0.43449934561494852</c:v>
                </c:pt>
                <c:pt idx="11">
                  <c:v>0.43863962690370373</c:v>
                </c:pt>
                <c:pt idx="12">
                  <c:v>0.44222881987986962</c:v>
                </c:pt>
                <c:pt idx="13">
                  <c:v>0.44537413235550771</c:v>
                </c:pt>
                <c:pt idx="14">
                  <c:v>0.4481561646254606</c:v>
                </c:pt>
                <c:pt idx="15">
                  <c:v>0.45063676758299942</c:v>
                </c:pt>
                <c:pt idx="16">
                  <c:v>0.45286425232598365</c:v>
                </c:pt>
                <c:pt idx="17">
                  <c:v>0.45487694223845909</c:v>
                </c:pt>
                <c:pt idx="18">
                  <c:v>0.4567056547962946</c:v>
                </c:pt>
                <c:pt idx="19">
                  <c:v>0.45837547317740235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C-BC4F-A047-22553F0F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253487"/>
        <c:axId val="428284079"/>
      </c:scatterChart>
      <c:valAx>
        <c:axId val="428253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284079"/>
        <c:crosses val="autoZero"/>
        <c:crossBetween val="midCat"/>
      </c:valAx>
      <c:valAx>
        <c:axId val="42828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25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364654</xdr:colOff>
      <xdr:row>5</xdr:row>
      <xdr:rowOff>75446</xdr:rowOff>
    </xdr:from>
    <xdr:to>
      <xdr:col>10</xdr:col>
      <xdr:colOff>113169</xdr:colOff>
      <xdr:row>32</xdr:row>
      <xdr:rowOff>138318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1DA2CD-57ED-8849-BE69-743E5726D2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50245</xdr:colOff>
      <xdr:row>5</xdr:row>
      <xdr:rowOff>135600</xdr:rowOff>
    </xdr:from>
    <xdr:to>
      <xdr:col>19</xdr:col>
      <xdr:colOff>528118</xdr:colOff>
      <xdr:row>32</xdr:row>
      <xdr:rowOff>100594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2B9FD9E9-B2AF-AE4A-80E6-249E0B3668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357461</xdr:colOff>
      <xdr:row>35</xdr:row>
      <xdr:rowOff>96268</xdr:rowOff>
    </xdr:from>
    <xdr:to>
      <xdr:col>10</xdr:col>
      <xdr:colOff>100594</xdr:colOff>
      <xdr:row>61</xdr:row>
      <xdr:rowOff>163464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6E06090C-2368-E342-AC4C-370CB6F35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436880</xdr:colOff>
      <xdr:row>2</xdr:row>
      <xdr:rowOff>20320</xdr:rowOff>
    </xdr:from>
    <xdr:to>
      <xdr:col>9</xdr:col>
      <xdr:colOff>368300</xdr:colOff>
      <xdr:row>31</xdr:row>
      <xdr:rowOff>114300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EACF57F1-F254-9745-9C9C-734370D95E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462280</xdr:colOff>
      <xdr:row>2</xdr:row>
      <xdr:rowOff>7620</xdr:rowOff>
    </xdr:from>
    <xdr:to>
      <xdr:col>18</xdr:col>
      <xdr:colOff>241300</xdr:colOff>
      <xdr:row>31</xdr:row>
      <xdr:rowOff>139700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BAE90E51-DF50-6A40-A120-98BECC589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567448</xdr:colOff>
      <xdr:row>33</xdr:row>
      <xdr:rowOff>111672</xdr:rowOff>
    </xdr:from>
    <xdr:to>
      <xdr:col>9</xdr:col>
      <xdr:colOff>342901</xdr:colOff>
      <xdr:row>56</xdr:row>
      <xdr:rowOff>135106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1064C86A-AC05-D041-8D7B-D97726BDF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2</xdr:row>
      <xdr:rowOff>25400</xdr:rowOff>
    </xdr:from>
    <xdr:to>
      <xdr:col>12</xdr:col>
      <xdr:colOff>228600</xdr:colOff>
      <xdr:row>39</xdr:row>
      <xdr:rowOff>114300</xdr:rowOff>
    </xdr:to>
    <xdr:graphicFrame macro="">
      <xdr:nvGraphicFramePr>
        <xdr:cNvPr id="2" name="Chart 6">
          <a:extLst>
            <a:ext uri="{FF2B5EF4-FFF2-40B4-BE49-F238E27FC236}">
              <a16:creationId xmlns:a16="http://schemas.microsoft.com/office/drawing/2014/main" id="{B1B228D3-5A36-A041-B761-62F79C06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337820</xdr:colOff>
      <xdr:row>5</xdr:row>
      <xdr:rowOff>58420</xdr:rowOff>
    </xdr:from>
    <xdr:to>
      <xdr:col>15</xdr:col>
      <xdr:colOff>660400</xdr:colOff>
      <xdr:row>45</xdr:row>
      <xdr:rowOff>50800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id="{4A79158A-1EE9-DC49-B3B5-9594849D7D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256540</xdr:colOff>
      <xdr:row>1</xdr:row>
      <xdr:rowOff>86360</xdr:rowOff>
    </xdr:from>
    <xdr:to>
      <xdr:col>9</xdr:col>
      <xdr:colOff>584200</xdr:colOff>
      <xdr:row>32</xdr:row>
      <xdr:rowOff>76200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E22FD959-941C-7B4E-B4F9-56D8990B8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254001</xdr:colOff>
      <xdr:row>2</xdr:row>
      <xdr:rowOff>12700</xdr:rowOff>
    </xdr:from>
    <xdr:to>
      <xdr:col>18</xdr:col>
      <xdr:colOff>596901</xdr:colOff>
      <xdr:row>32</xdr:row>
      <xdr:rowOff>139700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6C4C8F93-5A53-674F-BA18-978B0D12C7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511791</xdr:colOff>
      <xdr:row>33</xdr:row>
      <xdr:rowOff>75821</xdr:rowOff>
    </xdr:from>
    <xdr:to>
      <xdr:col>20</xdr:col>
      <xdr:colOff>75821</xdr:colOff>
      <xdr:row>62</xdr:row>
      <xdr:rowOff>132686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333A7C4-AA36-3A4D-8045-9B35BEF15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x-eng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agnus@x-eng.com" TargetMode="External"/><Relationship Id="rId1" Type="http://schemas.openxmlformats.org/officeDocument/2006/relationships/hyperlink" Target="http://www.x-eng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9"/>
  <sheetViews>
    <sheetView workbookViewId="0"/>
  </sheetViews>
  <sheetFormatPr baseColWidth="10" defaultColWidth="8.83203125" defaultRowHeight="13" x14ac:dyDescent="0.15"/>
  <cols>
    <col min="1" max="1" width="2.5" customWidth="1"/>
    <col min="2" max="2" width="21" customWidth="1"/>
    <col min="5" max="5" width="4.6640625" customWidth="1"/>
    <col min="6" max="6" width="20.6640625" customWidth="1"/>
  </cols>
  <sheetData>
    <row r="1" spans="1:10" ht="18" x14ac:dyDescent="0.2">
      <c r="B1" s="6" t="s">
        <v>219</v>
      </c>
    </row>
    <row r="2" spans="1:10" s="2" customFormat="1" x14ac:dyDescent="0.15">
      <c r="B2" s="9" t="s">
        <v>145</v>
      </c>
      <c r="D2" s="9" t="s">
        <v>146</v>
      </c>
    </row>
    <row r="3" spans="1:10" s="2" customFormat="1" x14ac:dyDescent="0.15">
      <c r="B3" s="9" t="s">
        <v>147</v>
      </c>
      <c r="D3" s="9" t="s">
        <v>217</v>
      </c>
      <c r="H3" s="1"/>
      <c r="I3" s="1"/>
    </row>
    <row r="4" spans="1:10" x14ac:dyDescent="0.15">
      <c r="B4" s="26" t="s">
        <v>148</v>
      </c>
      <c r="D4" s="9" t="s">
        <v>211</v>
      </c>
      <c r="H4" s="1"/>
      <c r="I4" s="1"/>
      <c r="J4" s="2"/>
    </row>
    <row r="5" spans="1:10" x14ac:dyDescent="0.15">
      <c r="B5" s="27"/>
      <c r="H5" s="1"/>
      <c r="I5" s="1"/>
      <c r="J5" s="2"/>
    </row>
    <row r="6" spans="1:10" x14ac:dyDescent="0.15">
      <c r="B6" s="28" t="s">
        <v>149</v>
      </c>
      <c r="C6" s="23"/>
      <c r="D6" s="23"/>
      <c r="E6" s="23"/>
      <c r="F6" s="28" t="s">
        <v>150</v>
      </c>
      <c r="G6" s="23"/>
      <c r="H6" s="23"/>
    </row>
    <row r="7" spans="1:10" x14ac:dyDescent="0.15">
      <c r="A7" s="7"/>
      <c r="B7" s="35" t="s">
        <v>176</v>
      </c>
      <c r="C7" s="36">
        <v>100</v>
      </c>
      <c r="D7" s="37" t="s">
        <v>179</v>
      </c>
      <c r="E7" s="23"/>
      <c r="F7" s="35" t="s">
        <v>186</v>
      </c>
      <c r="G7" s="39">
        <v>12.57</v>
      </c>
      <c r="H7" s="37" t="s">
        <v>151</v>
      </c>
      <c r="I7" s="7"/>
    </row>
    <row r="8" spans="1:10" x14ac:dyDescent="0.15">
      <c r="A8" s="7"/>
      <c r="B8" s="3" t="s">
        <v>188</v>
      </c>
      <c r="C8" s="29">
        <f>psat_t(C7)</f>
        <v>1.0141797792131013</v>
      </c>
      <c r="D8" s="5" t="s">
        <v>151</v>
      </c>
      <c r="E8" s="23"/>
      <c r="F8" s="3" t="s">
        <v>187</v>
      </c>
      <c r="G8" s="30">
        <f>Tsat_p(G7)</f>
        <v>190.0720101494847</v>
      </c>
      <c r="H8" s="5" t="s">
        <v>179</v>
      </c>
      <c r="I8" s="7"/>
    </row>
    <row r="9" spans="1:10" x14ac:dyDescent="0.15">
      <c r="A9" s="7"/>
      <c r="B9" s="4" t="s">
        <v>152</v>
      </c>
      <c r="C9" s="7"/>
      <c r="D9" s="5"/>
      <c r="F9" s="4" t="s">
        <v>152</v>
      </c>
      <c r="G9" s="7"/>
      <c r="H9" s="5"/>
      <c r="I9" s="7"/>
    </row>
    <row r="10" spans="1:10" x14ac:dyDescent="0.15">
      <c r="A10" s="7"/>
      <c r="B10" s="3" t="s">
        <v>175</v>
      </c>
      <c r="C10" s="31">
        <f>hL_T(C7)</f>
        <v>419.09915499770312</v>
      </c>
      <c r="D10" s="5" t="s">
        <v>171</v>
      </c>
      <c r="E10" s="23"/>
      <c r="F10" s="3" t="s">
        <v>175</v>
      </c>
      <c r="G10" s="31">
        <f>hL_p(G7)</f>
        <v>807.88713916160623</v>
      </c>
      <c r="H10" s="5" t="s">
        <v>171</v>
      </c>
      <c r="I10" s="7"/>
    </row>
    <row r="11" spans="1:10" x14ac:dyDescent="0.15">
      <c r="A11" s="7"/>
      <c r="B11" s="3" t="s">
        <v>181</v>
      </c>
      <c r="C11" s="30">
        <f>rhoL_T(C7)</f>
        <v>958.35427728589013</v>
      </c>
      <c r="D11" s="5" t="s">
        <v>177</v>
      </c>
      <c r="E11" s="23"/>
      <c r="F11" s="3" t="s">
        <v>181</v>
      </c>
      <c r="G11" s="30">
        <f>rhoL_P(G7)</f>
        <v>876.00369063972801</v>
      </c>
      <c r="H11" s="5" t="s">
        <v>177</v>
      </c>
      <c r="I11" s="7"/>
    </row>
    <row r="12" spans="1:10" x14ac:dyDescent="0.15">
      <c r="A12" s="7"/>
      <c r="B12" s="3" t="s">
        <v>153</v>
      </c>
      <c r="C12" s="30">
        <f>sL_T(C7)</f>
        <v>1.3070143278413395</v>
      </c>
      <c r="D12" s="5" t="s">
        <v>218</v>
      </c>
      <c r="E12" s="23"/>
      <c r="F12" s="3" t="s">
        <v>153</v>
      </c>
      <c r="G12" s="30">
        <f>sL_p(G7)</f>
        <v>2.2364689876704968</v>
      </c>
      <c r="H12" s="5" t="s">
        <v>218</v>
      </c>
      <c r="I12" s="7"/>
    </row>
    <row r="13" spans="1:10" x14ac:dyDescent="0.15">
      <c r="A13" s="7"/>
      <c r="B13" s="32" t="s">
        <v>154</v>
      </c>
      <c r="C13" s="7"/>
      <c r="D13" s="5"/>
      <c r="F13" s="32" t="s">
        <v>154</v>
      </c>
      <c r="G13" s="7"/>
      <c r="H13" s="5"/>
      <c r="I13" s="7"/>
    </row>
    <row r="14" spans="1:10" x14ac:dyDescent="0.15">
      <c r="A14" s="7"/>
      <c r="B14" s="3" t="s">
        <v>155</v>
      </c>
      <c r="C14" s="31">
        <f>hV_T(C7)</f>
        <v>2675.5720292208343</v>
      </c>
      <c r="D14" s="5" t="s">
        <v>171</v>
      </c>
      <c r="E14" s="23"/>
      <c r="F14" s="3" t="s">
        <v>155</v>
      </c>
      <c r="G14" s="31">
        <f>hV_p(G7)</f>
        <v>2785.3645430359766</v>
      </c>
      <c r="H14" s="5" t="s">
        <v>171</v>
      </c>
      <c r="I14" s="7"/>
    </row>
    <row r="15" spans="1:10" x14ac:dyDescent="0.15">
      <c r="A15" s="7"/>
      <c r="B15" s="3" t="s">
        <v>156</v>
      </c>
      <c r="C15" s="30">
        <f>rhoV_T(C7)</f>
        <v>0.59813599252570293</v>
      </c>
      <c r="D15" s="5" t="s">
        <v>177</v>
      </c>
      <c r="E15" s="23"/>
      <c r="F15" s="3" t="s">
        <v>156</v>
      </c>
      <c r="G15" s="30">
        <f>rhoV_p(G7)</f>
        <v>6.4045082049427524</v>
      </c>
      <c r="H15" s="5" t="s">
        <v>177</v>
      </c>
      <c r="I15" s="7"/>
    </row>
    <row r="16" spans="1:10" x14ac:dyDescent="0.15">
      <c r="A16" s="7"/>
      <c r="B16" s="3" t="s">
        <v>157</v>
      </c>
      <c r="C16" s="30">
        <f>sV_T(C7)</f>
        <v>7.3540770509584048</v>
      </c>
      <c r="D16" s="5" t="s">
        <v>218</v>
      </c>
      <c r="E16" s="23"/>
      <c r="F16" s="3" t="s">
        <v>158</v>
      </c>
      <c r="G16" s="30">
        <f>sV_p(G7)</f>
        <v>6.5054497650746752</v>
      </c>
      <c r="H16" s="5" t="s">
        <v>218</v>
      </c>
      <c r="I16" s="7"/>
    </row>
    <row r="17" spans="1:9" x14ac:dyDescent="0.15">
      <c r="A17" s="7"/>
      <c r="B17" s="19" t="s">
        <v>159</v>
      </c>
      <c r="C17" s="33">
        <f>C14-C10</f>
        <v>2256.4728742231314</v>
      </c>
      <c r="D17" s="21" t="s">
        <v>171</v>
      </c>
      <c r="E17" s="23"/>
      <c r="F17" s="19" t="s">
        <v>159</v>
      </c>
      <c r="G17" s="33">
        <f>G14-G10</f>
        <v>1977.4774038743703</v>
      </c>
      <c r="H17" s="21" t="s">
        <v>171</v>
      </c>
      <c r="I17" s="7"/>
    </row>
    <row r="18" spans="1:9" x14ac:dyDescent="0.15">
      <c r="A18" s="7"/>
      <c r="I18" s="7"/>
    </row>
    <row r="19" spans="1:9" x14ac:dyDescent="0.15">
      <c r="A19" s="7"/>
      <c r="B19" s="28" t="s">
        <v>160</v>
      </c>
      <c r="C19" s="23"/>
      <c r="D19" s="23"/>
      <c r="E19" s="23"/>
      <c r="F19" s="28" t="s">
        <v>161</v>
      </c>
      <c r="G19" s="23"/>
      <c r="H19" s="23"/>
      <c r="I19" s="7"/>
    </row>
    <row r="20" spans="1:9" x14ac:dyDescent="0.15">
      <c r="A20" s="7"/>
      <c r="B20" s="35" t="s">
        <v>186</v>
      </c>
      <c r="C20" s="36">
        <v>1</v>
      </c>
      <c r="D20" s="37" t="s">
        <v>151</v>
      </c>
      <c r="E20" s="23"/>
      <c r="F20" s="35" t="s">
        <v>186</v>
      </c>
      <c r="G20" s="36">
        <v>12.57</v>
      </c>
      <c r="H20" s="37" t="s">
        <v>151</v>
      </c>
      <c r="I20" s="7"/>
    </row>
    <row r="21" spans="1:9" x14ac:dyDescent="0.15">
      <c r="A21" s="7"/>
      <c r="B21" s="17" t="s">
        <v>176</v>
      </c>
      <c r="C21" s="38">
        <v>20</v>
      </c>
      <c r="D21" s="18" t="s">
        <v>179</v>
      </c>
      <c r="E21" s="7"/>
      <c r="F21" s="17" t="s">
        <v>175</v>
      </c>
      <c r="G21" s="38">
        <v>2788</v>
      </c>
      <c r="H21" s="18" t="s">
        <v>171</v>
      </c>
      <c r="I21" s="7"/>
    </row>
    <row r="22" spans="1:9" x14ac:dyDescent="0.15">
      <c r="A22" s="7"/>
      <c r="B22" s="3" t="s">
        <v>175</v>
      </c>
      <c r="C22" s="31">
        <f>h_pt(C20,C21)</f>
        <v>84.01181116713623</v>
      </c>
      <c r="D22" s="5" t="s">
        <v>171</v>
      </c>
      <c r="E22" s="7"/>
      <c r="F22" s="3" t="s">
        <v>176</v>
      </c>
      <c r="G22" s="31">
        <f>T_ph(G20,G21)</f>
        <v>190.99878517007232</v>
      </c>
      <c r="H22" s="5" t="s">
        <v>179</v>
      </c>
      <c r="I22" s="7"/>
    </row>
    <row r="23" spans="1:9" x14ac:dyDescent="0.15">
      <c r="A23" s="7"/>
      <c r="B23" s="3" t="s">
        <v>181</v>
      </c>
      <c r="C23" s="30">
        <f>rho_pT(C20,C21)</f>
        <v>998.20548637769684</v>
      </c>
      <c r="D23" s="5" t="s">
        <v>177</v>
      </c>
      <c r="E23" s="7"/>
      <c r="F23" s="3" t="s">
        <v>181</v>
      </c>
      <c r="G23" s="30">
        <f>rho_ph(G20,G21)</f>
        <v>6.3855415554886008</v>
      </c>
      <c r="H23" s="5" t="s">
        <v>177</v>
      </c>
      <c r="I23" s="7"/>
    </row>
    <row r="24" spans="1:9" x14ac:dyDescent="0.15">
      <c r="A24" s="7"/>
      <c r="B24" s="3" t="s">
        <v>153</v>
      </c>
      <c r="C24" s="30">
        <f>s_pT(C20,C21)</f>
        <v>0.29648292080641009</v>
      </c>
      <c r="D24" s="5" t="s">
        <v>218</v>
      </c>
      <c r="E24" s="7"/>
      <c r="F24" s="3" t="s">
        <v>153</v>
      </c>
      <c r="G24" s="30">
        <f>s_ph(G20,G21)</f>
        <v>6.5111125817764135</v>
      </c>
      <c r="H24" s="5" t="s">
        <v>218</v>
      </c>
      <c r="I24" s="7"/>
    </row>
    <row r="25" spans="1:9" x14ac:dyDescent="0.15">
      <c r="A25" s="7"/>
      <c r="B25" s="22" t="s">
        <v>206</v>
      </c>
      <c r="C25">
        <f>x_ph(C20,C22)*100</f>
        <v>0</v>
      </c>
      <c r="D25" s="24" t="s">
        <v>208</v>
      </c>
      <c r="F25" s="22" t="s">
        <v>206</v>
      </c>
      <c r="G25">
        <f>x_ph(G20,G21)*100</f>
        <v>100</v>
      </c>
      <c r="H25" s="24" t="s">
        <v>208</v>
      </c>
      <c r="I25" s="7"/>
    </row>
    <row r="26" spans="1:9" x14ac:dyDescent="0.15">
      <c r="A26" s="7"/>
      <c r="B26" s="3" t="s">
        <v>162</v>
      </c>
      <c r="C26" s="7">
        <f>region_pt(C20/10,C21+273.15)</f>
        <v>1</v>
      </c>
      <c r="D26" s="5"/>
      <c r="E26" s="7"/>
      <c r="F26" s="3" t="s">
        <v>162</v>
      </c>
      <c r="G26" s="7">
        <f>region_ph(G20/10,G21)</f>
        <v>2</v>
      </c>
      <c r="H26" s="5"/>
      <c r="I26" s="7"/>
    </row>
    <row r="27" spans="1:9" x14ac:dyDescent="0.15">
      <c r="A27" s="7"/>
      <c r="B27" s="3" t="s">
        <v>163</v>
      </c>
      <c r="C27" s="34" t="str">
        <f>IF(C26=2,"Steam",IF(C26=1,"Liquid",IF(C26=4,"Mixture","")))</f>
        <v>Liquid</v>
      </c>
      <c r="D27" s="5"/>
      <c r="E27" s="7"/>
      <c r="F27" s="3" t="s">
        <v>163</v>
      </c>
      <c r="G27" s="34" t="str">
        <f>IF(G26=2,"Steam",IF(G26=1,"Liquid",IF(G26=4,"Mixture","")))</f>
        <v>Steam</v>
      </c>
      <c r="H27" s="5"/>
      <c r="I27" s="7"/>
    </row>
    <row r="28" spans="1:9" x14ac:dyDescent="0.15">
      <c r="B28" s="3" t="s">
        <v>164</v>
      </c>
      <c r="C28" s="7">
        <f>Cp_pT(C20,C21)</f>
        <v>4.1847982213085304</v>
      </c>
      <c r="D28" s="5" t="s">
        <v>171</v>
      </c>
      <c r="F28" s="3" t="s">
        <v>164</v>
      </c>
      <c r="G28" s="7">
        <f>Cp_ph(G20,G21)</f>
        <v>2.819479422450438</v>
      </c>
      <c r="H28" s="5" t="s">
        <v>171</v>
      </c>
    </row>
    <row r="29" spans="1:9" x14ac:dyDescent="0.15">
      <c r="B29" s="19" t="s">
        <v>165</v>
      </c>
      <c r="C29" s="20">
        <f>w_pT(C20,C21)</f>
        <v>1483.4167663120188</v>
      </c>
      <c r="D29" s="21" t="s">
        <v>174</v>
      </c>
      <c r="F29" s="19" t="s">
        <v>165</v>
      </c>
      <c r="G29" s="20">
        <f>w_ph(G20,G21)</f>
        <v>503.55121714205848</v>
      </c>
      <c r="H29" s="21" t="s">
        <v>174</v>
      </c>
    </row>
  </sheetData>
  <phoneticPr fontId="0" type="noConversion"/>
  <hyperlinks>
    <hyperlink ref="B4" r:id="rId1" xr:uid="{00000000-0004-0000-0000-000000000000}"/>
  </hyperlinks>
  <pageMargins left="0.75" right="0.75" top="1" bottom="1" header="0.5" footer="0.5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outlinePr summaryBelow="0"/>
  </sheetPr>
  <dimension ref="A1:M150"/>
  <sheetViews>
    <sheetView topLeftCell="A10" workbookViewId="0">
      <selection activeCell="E10" sqref="E10"/>
    </sheetView>
  </sheetViews>
  <sheetFormatPr baseColWidth="10" defaultColWidth="8.83203125" defaultRowHeight="13" outlineLevelRow="1" x14ac:dyDescent="0.15"/>
  <cols>
    <col min="1" max="1" width="24.1640625" customWidth="1"/>
    <col min="2" max="2" width="4.6640625" customWidth="1"/>
    <col min="3" max="3" width="7.6640625" customWidth="1"/>
    <col min="4" max="4" width="4.6640625" customWidth="1"/>
    <col min="5" max="5" width="8.33203125" customWidth="1"/>
    <col min="6" max="6" width="10.5" style="1" bestFit="1" customWidth="1"/>
    <col min="7" max="7" width="9.1640625" style="1" customWidth="1"/>
    <col min="8" max="8" width="7.5" style="2" customWidth="1"/>
  </cols>
  <sheetData>
    <row r="1" spans="1:8" s="14" customFormat="1" ht="18" x14ac:dyDescent="0.2">
      <c r="A1" s="6" t="s">
        <v>219</v>
      </c>
      <c r="D1" s="2" t="s">
        <v>0</v>
      </c>
      <c r="E1" s="15" t="s">
        <v>220</v>
      </c>
      <c r="F1" s="6"/>
      <c r="G1" s="6"/>
    </row>
    <row r="2" spans="1:8" s="11" customFormat="1" ht="11" x14ac:dyDescent="0.15">
      <c r="A2" s="11" t="s">
        <v>221</v>
      </c>
    </row>
    <row r="3" spans="1:8" s="9" customFormat="1" ht="11" x14ac:dyDescent="0.15">
      <c r="A3" s="9" t="s">
        <v>142</v>
      </c>
    </row>
    <row r="4" spans="1:8" s="9" customFormat="1" ht="11" x14ac:dyDescent="0.15">
      <c r="A4" s="9" t="s">
        <v>143</v>
      </c>
      <c r="F4" s="16" t="s">
        <v>223</v>
      </c>
    </row>
    <row r="5" spans="1:8" s="9" customFormat="1" ht="11" x14ac:dyDescent="0.15">
      <c r="A5" s="9" t="s">
        <v>217</v>
      </c>
    </row>
    <row r="6" spans="1:8" x14ac:dyDescent="0.15">
      <c r="A6" s="11" t="s">
        <v>211</v>
      </c>
      <c r="B6" s="2"/>
      <c r="C6" s="2"/>
      <c r="D6" s="2"/>
      <c r="E6" s="2"/>
      <c r="F6" s="2"/>
      <c r="G6" s="2"/>
    </row>
    <row r="7" spans="1:8" x14ac:dyDescent="0.15">
      <c r="A7" s="11"/>
      <c r="B7" s="2"/>
      <c r="C7" s="2"/>
      <c r="D7" s="2"/>
      <c r="E7" s="2"/>
      <c r="F7" s="2"/>
      <c r="G7" s="2"/>
    </row>
    <row r="8" spans="1:8" s="13" customFormat="1" ht="16" x14ac:dyDescent="0.2">
      <c r="A8" s="25" t="s">
        <v>176</v>
      </c>
      <c r="F8" s="12"/>
      <c r="G8" s="12"/>
    </row>
    <row r="9" spans="1:8" s="9" customFormat="1" outlineLevel="1" x14ac:dyDescent="0.15">
      <c r="A9" s="1" t="s">
        <v>26</v>
      </c>
      <c r="B9" s="2">
        <v>1</v>
      </c>
      <c r="C9" s="2" t="s">
        <v>178</v>
      </c>
      <c r="D9" s="2"/>
      <c r="E9" s="2"/>
      <c r="F9" s="1">
        <f>Tsat_p(B9)</f>
        <v>99.605918611337643</v>
      </c>
      <c r="G9" s="1" t="s">
        <v>179</v>
      </c>
      <c r="H9" s="2" t="s">
        <v>187</v>
      </c>
    </row>
    <row r="10" spans="1:8" s="9" customFormat="1" outlineLevel="1" x14ac:dyDescent="0.15">
      <c r="A10" s="1" t="s">
        <v>25</v>
      </c>
      <c r="B10" s="2">
        <v>1</v>
      </c>
      <c r="C10" s="2" t="s">
        <v>178</v>
      </c>
      <c r="D10" s="2">
        <v>100</v>
      </c>
      <c r="E10" s="2" t="s">
        <v>171</v>
      </c>
      <c r="F10" s="1">
        <f>T_ph(B10,D10)</f>
        <v>23.844819075324835</v>
      </c>
      <c r="G10" s="1" t="s">
        <v>179</v>
      </c>
      <c r="H10" s="2" t="s">
        <v>212</v>
      </c>
    </row>
    <row r="11" spans="1:8" s="9" customFormat="1" outlineLevel="1" x14ac:dyDescent="0.15">
      <c r="A11" s="1" t="s">
        <v>27</v>
      </c>
      <c r="B11" s="2">
        <v>1</v>
      </c>
      <c r="C11" s="2" t="s">
        <v>178</v>
      </c>
      <c r="D11" s="2">
        <v>1</v>
      </c>
      <c r="E11" s="2" t="s">
        <v>173</v>
      </c>
      <c r="F11" s="1">
        <f>T_ps(B11,D11)</f>
        <v>73.708594214408663</v>
      </c>
      <c r="G11" s="1" t="s">
        <v>179</v>
      </c>
      <c r="H11" s="2" t="s">
        <v>213</v>
      </c>
    </row>
    <row r="12" spans="1:8" s="9" customFormat="1" outlineLevel="1" x14ac:dyDescent="0.15">
      <c r="A12" s="1" t="s">
        <v>24</v>
      </c>
      <c r="B12" s="2">
        <v>100</v>
      </c>
      <c r="C12" s="2" t="s">
        <v>171</v>
      </c>
      <c r="D12" s="2">
        <v>0.2</v>
      </c>
      <c r="E12" s="2" t="s">
        <v>173</v>
      </c>
      <c r="F12" s="1">
        <f>T_hs(B12,D12)</f>
        <v>13.849335111872563</v>
      </c>
      <c r="G12" s="1" t="s">
        <v>179</v>
      </c>
      <c r="H12" s="2" t="s">
        <v>227</v>
      </c>
    </row>
    <row r="13" spans="1:8" s="13" customFormat="1" ht="16" x14ac:dyDescent="0.2">
      <c r="A13" s="25" t="s">
        <v>186</v>
      </c>
      <c r="F13" s="12"/>
      <c r="G13" s="12"/>
    </row>
    <row r="14" spans="1:8" s="9" customFormat="1" outlineLevel="1" x14ac:dyDescent="0.15">
      <c r="A14" s="1" t="s">
        <v>23</v>
      </c>
      <c r="B14" s="2">
        <v>100</v>
      </c>
      <c r="C14" s="2" t="s">
        <v>179</v>
      </c>
      <c r="D14" s="2"/>
      <c r="E14" s="2"/>
      <c r="F14" s="1">
        <f>psat_t(B14)</f>
        <v>1.0141797792131013</v>
      </c>
      <c r="G14" s="1" t="s">
        <v>178</v>
      </c>
      <c r="H14" s="2" t="s">
        <v>188</v>
      </c>
    </row>
    <row r="15" spans="1:8" s="9" customFormat="1" outlineLevel="1" x14ac:dyDescent="0.15">
      <c r="A15" s="1" t="s">
        <v>22</v>
      </c>
      <c r="B15" s="2">
        <v>84</v>
      </c>
      <c r="C15" s="2" t="s">
        <v>171</v>
      </c>
      <c r="D15" s="2">
        <v>0.29599999999999999</v>
      </c>
      <c r="E15" s="2" t="s">
        <v>173</v>
      </c>
      <c r="F15" s="1">
        <f>p_hs(B15,D15)</f>
        <v>2.2954982692809138</v>
      </c>
      <c r="G15" s="1" t="s">
        <v>178</v>
      </c>
      <c r="H15" s="2" t="s">
        <v>222</v>
      </c>
    </row>
    <row r="16" spans="1:8" s="9" customFormat="1" outlineLevel="1" x14ac:dyDescent="0.15">
      <c r="A16" s="1" t="s">
        <v>21</v>
      </c>
      <c r="B16" s="2">
        <v>2000</v>
      </c>
      <c r="C16" s="2" t="s">
        <v>171</v>
      </c>
      <c r="D16" s="2">
        <v>5</v>
      </c>
      <c r="E16" s="2" t="s">
        <v>177</v>
      </c>
      <c r="F16" s="1">
        <f>p_hrho(B16,D16)</f>
        <v>6.0464690304783115</v>
      </c>
      <c r="G16" s="1" t="s">
        <v>178</v>
      </c>
      <c r="H16" s="2" t="s">
        <v>3</v>
      </c>
    </row>
    <row r="17" spans="1:8" s="13" customFormat="1" ht="16" x14ac:dyDescent="0.2">
      <c r="A17" s="25" t="s">
        <v>175</v>
      </c>
      <c r="F17" s="12"/>
      <c r="G17" s="12"/>
    </row>
    <row r="18" spans="1:8" s="9" customFormat="1" outlineLevel="1" x14ac:dyDescent="0.15">
      <c r="A18" s="1" t="s">
        <v>28</v>
      </c>
      <c r="B18" s="2">
        <v>1</v>
      </c>
      <c r="C18" s="2" t="s">
        <v>178</v>
      </c>
      <c r="D18" s="2"/>
      <c r="E18" s="2"/>
      <c r="F18" s="1">
        <f>hV_p(B18)</f>
        <v>2674.9496408321461</v>
      </c>
      <c r="G18" s="1" t="s">
        <v>171</v>
      </c>
      <c r="H18" s="2" t="s">
        <v>190</v>
      </c>
    </row>
    <row r="19" spans="1:8" s="9" customFormat="1" outlineLevel="1" x14ac:dyDescent="0.15">
      <c r="A19" s="1" t="s">
        <v>29</v>
      </c>
      <c r="B19" s="2">
        <v>1</v>
      </c>
      <c r="C19" s="2" t="s">
        <v>178</v>
      </c>
      <c r="D19" s="2"/>
      <c r="E19" s="2"/>
      <c r="F19" s="1">
        <f>hL_p(B19)</f>
        <v>417.43648581623171</v>
      </c>
      <c r="G19" s="1" t="s">
        <v>171</v>
      </c>
      <c r="H19" s="2" t="s">
        <v>195</v>
      </c>
    </row>
    <row r="20" spans="1:8" s="9" customFormat="1" outlineLevel="1" x14ac:dyDescent="0.15">
      <c r="A20" s="1" t="s">
        <v>30</v>
      </c>
      <c r="B20" s="2">
        <v>100</v>
      </c>
      <c r="C20" s="2" t="s">
        <v>179</v>
      </c>
      <c r="D20" s="2"/>
      <c r="E20" s="2"/>
      <c r="F20" s="1">
        <f>hV_T(B20)</f>
        <v>2675.5720292208343</v>
      </c>
      <c r="G20" s="1" t="s">
        <v>171</v>
      </c>
      <c r="H20" s="2" t="s">
        <v>190</v>
      </c>
    </row>
    <row r="21" spans="1:8" s="9" customFormat="1" outlineLevel="1" x14ac:dyDescent="0.15">
      <c r="A21" s="1" t="s">
        <v>31</v>
      </c>
      <c r="B21" s="2">
        <v>100</v>
      </c>
      <c r="C21" s="2" t="s">
        <v>179</v>
      </c>
      <c r="D21" s="2"/>
      <c r="E21" s="2"/>
      <c r="F21" s="1">
        <f>hL_T(B21)</f>
        <v>419.09915499770312</v>
      </c>
      <c r="G21" s="1" t="s">
        <v>171</v>
      </c>
      <c r="H21" s="2" t="s">
        <v>195</v>
      </c>
    </row>
    <row r="22" spans="1:8" s="9" customFormat="1" outlineLevel="1" x14ac:dyDescent="0.15">
      <c r="A22" s="1" t="s">
        <v>32</v>
      </c>
      <c r="B22" s="2">
        <v>1</v>
      </c>
      <c r="C22" s="2" t="s">
        <v>178</v>
      </c>
      <c r="D22" s="2">
        <v>20</v>
      </c>
      <c r="E22" s="2" t="s">
        <v>179</v>
      </c>
      <c r="F22" s="1">
        <f>h_pt(B22,D22)</f>
        <v>84.01181116713623</v>
      </c>
      <c r="G22" s="1" t="s">
        <v>171</v>
      </c>
      <c r="H22" s="2" t="s">
        <v>214</v>
      </c>
    </row>
    <row r="23" spans="1:8" s="9" customFormat="1" outlineLevel="1" x14ac:dyDescent="0.15">
      <c r="A23" s="1" t="s">
        <v>33</v>
      </c>
      <c r="B23" s="2">
        <v>1</v>
      </c>
      <c r="C23" s="2" t="s">
        <v>178</v>
      </c>
      <c r="D23" s="2">
        <v>1</v>
      </c>
      <c r="E23" s="2" t="s">
        <v>173</v>
      </c>
      <c r="F23" s="1">
        <f>h_ps(B23,D23)</f>
        <v>308.61071708294634</v>
      </c>
      <c r="G23" s="1" t="s">
        <v>171</v>
      </c>
      <c r="H23" s="2" t="s">
        <v>215</v>
      </c>
    </row>
    <row r="24" spans="1:8" s="9" customFormat="1" outlineLevel="1" x14ac:dyDescent="0.15">
      <c r="A24" s="1" t="s">
        <v>34</v>
      </c>
      <c r="B24" s="2">
        <v>1</v>
      </c>
      <c r="C24" s="2" t="s">
        <v>178</v>
      </c>
      <c r="D24" s="2">
        <v>0.5</v>
      </c>
      <c r="E24" s="2"/>
      <c r="F24" s="1">
        <f>h_px(B24,D24)</f>
        <v>1546.1930633241889</v>
      </c>
      <c r="G24" s="1" t="s">
        <v>171</v>
      </c>
      <c r="H24" s="2" t="s">
        <v>225</v>
      </c>
    </row>
    <row r="25" spans="1:8" s="9" customFormat="1" outlineLevel="1" x14ac:dyDescent="0.15">
      <c r="A25" s="1" t="s">
        <v>35</v>
      </c>
      <c r="B25" s="2">
        <v>100</v>
      </c>
      <c r="C25" s="2" t="s">
        <v>179</v>
      </c>
      <c r="D25" s="2">
        <v>0.5</v>
      </c>
      <c r="E25" s="2"/>
      <c r="F25" s="1">
        <f>h_tx(B25,D25)</f>
        <v>1547.3355921092686</v>
      </c>
      <c r="G25" s="1" t="s">
        <v>171</v>
      </c>
      <c r="H25" s="2" t="s">
        <v>226</v>
      </c>
    </row>
    <row r="26" spans="1:8" s="9" customFormat="1" outlineLevel="1" x14ac:dyDescent="0.15">
      <c r="A26" s="1" t="s">
        <v>36</v>
      </c>
      <c r="B26" s="2">
        <v>1</v>
      </c>
      <c r="C26" s="2" t="s">
        <v>178</v>
      </c>
      <c r="D26" s="2">
        <v>2</v>
      </c>
      <c r="E26" s="2" t="s">
        <v>177</v>
      </c>
      <c r="F26" s="1">
        <f>h_prho(B26,D26)</f>
        <v>1082.7733907600204</v>
      </c>
      <c r="G26" s="1" t="s">
        <v>171</v>
      </c>
      <c r="H26" s="2" t="s">
        <v>144</v>
      </c>
    </row>
    <row r="27" spans="1:8" s="13" customFormat="1" ht="16" x14ac:dyDescent="0.2">
      <c r="A27" s="25" t="s">
        <v>189</v>
      </c>
      <c r="F27" s="12"/>
      <c r="G27" s="12"/>
    </row>
    <row r="28" spans="1:8" s="9" customFormat="1" outlineLevel="1" x14ac:dyDescent="0.15">
      <c r="A28" s="1" t="s">
        <v>37</v>
      </c>
      <c r="B28" s="2">
        <v>1</v>
      </c>
      <c r="C28" s="2" t="s">
        <v>178</v>
      </c>
      <c r="D28" s="2"/>
      <c r="E28" s="2"/>
      <c r="F28" s="1">
        <f>vV_p(B28)</f>
        <v>1.6940225229026846</v>
      </c>
      <c r="G28" s="1" t="s">
        <v>172</v>
      </c>
      <c r="H28" s="2" t="s">
        <v>191</v>
      </c>
    </row>
    <row r="29" spans="1:8" s="9" customFormat="1" outlineLevel="1" x14ac:dyDescent="0.15">
      <c r="A29" s="1" t="s">
        <v>38</v>
      </c>
      <c r="B29" s="2">
        <v>1</v>
      </c>
      <c r="C29" s="2" t="s">
        <v>178</v>
      </c>
      <c r="D29" s="2"/>
      <c r="E29" s="2"/>
      <c r="F29" s="1">
        <f>vL_p(B29)</f>
        <v>1.0431478391551838E-3</v>
      </c>
      <c r="G29" s="1" t="s">
        <v>172</v>
      </c>
      <c r="H29" s="2" t="s">
        <v>196</v>
      </c>
    </row>
    <row r="30" spans="1:8" s="9" customFormat="1" outlineLevel="1" x14ac:dyDescent="0.15">
      <c r="A30" s="1" t="s">
        <v>39</v>
      </c>
      <c r="B30" s="2">
        <v>100</v>
      </c>
      <c r="C30" s="2" t="s">
        <v>179</v>
      </c>
      <c r="D30" s="2"/>
      <c r="E30" s="2"/>
      <c r="F30" s="1">
        <f>vV_T(B30)</f>
        <v>1.6718606010940367</v>
      </c>
      <c r="G30" s="1" t="s">
        <v>172</v>
      </c>
      <c r="H30" s="2" t="s">
        <v>191</v>
      </c>
    </row>
    <row r="31" spans="1:8" s="9" customFormat="1" outlineLevel="1" x14ac:dyDescent="0.15">
      <c r="A31" s="1" t="s">
        <v>40</v>
      </c>
      <c r="B31" s="2">
        <v>100</v>
      </c>
      <c r="C31" s="2" t="s">
        <v>179</v>
      </c>
      <c r="D31" s="2"/>
      <c r="E31" s="2"/>
      <c r="F31" s="1">
        <f>vL_T(B31)</f>
        <v>1.0434554566105269E-3</v>
      </c>
      <c r="G31" s="1" t="s">
        <v>172</v>
      </c>
      <c r="H31" s="2" t="s">
        <v>196</v>
      </c>
    </row>
    <row r="32" spans="1:8" s="9" customFormat="1" outlineLevel="1" x14ac:dyDescent="0.15">
      <c r="A32" s="1" t="s">
        <v>41</v>
      </c>
      <c r="B32" s="2">
        <v>1</v>
      </c>
      <c r="C32" s="2" t="s">
        <v>178</v>
      </c>
      <c r="D32" s="2">
        <v>100</v>
      </c>
      <c r="E32" s="2" t="s">
        <v>179</v>
      </c>
      <c r="F32" s="1">
        <f>v_pT(B32,D32)</f>
        <v>1.6959594073982218</v>
      </c>
      <c r="G32" s="1" t="s">
        <v>172</v>
      </c>
      <c r="H32" s="2" t="s">
        <v>228</v>
      </c>
    </row>
    <row r="33" spans="1:8" s="9" customFormat="1" outlineLevel="1" x14ac:dyDescent="0.15">
      <c r="A33" s="1" t="s">
        <v>42</v>
      </c>
      <c r="B33" s="2">
        <v>1</v>
      </c>
      <c r="C33" s="2" t="s">
        <v>178</v>
      </c>
      <c r="D33" s="2">
        <v>1000</v>
      </c>
      <c r="E33" s="2" t="s">
        <v>171</v>
      </c>
      <c r="F33" s="1">
        <f>v_ph(B33,D33)</f>
        <v>0.43792565812986356</v>
      </c>
      <c r="G33" s="1" t="s">
        <v>172</v>
      </c>
      <c r="H33" s="2" t="s">
        <v>229</v>
      </c>
    </row>
    <row r="34" spans="1:8" s="9" customFormat="1" outlineLevel="1" x14ac:dyDescent="0.15">
      <c r="A34" s="1" t="s">
        <v>43</v>
      </c>
      <c r="B34" s="2">
        <v>1</v>
      </c>
      <c r="C34" s="2" t="s">
        <v>178</v>
      </c>
      <c r="D34" s="2">
        <v>5</v>
      </c>
      <c r="E34" s="2" t="s">
        <v>173</v>
      </c>
      <c r="F34" s="1">
        <f>v_ps(B34,D34)</f>
        <v>1.0346353901862877</v>
      </c>
      <c r="G34" s="1" t="s">
        <v>172</v>
      </c>
      <c r="H34" s="2" t="s">
        <v>230</v>
      </c>
    </row>
    <row r="35" spans="1:8" s="13" customFormat="1" ht="16" x14ac:dyDescent="0.2">
      <c r="A35" s="25" t="s">
        <v>181</v>
      </c>
      <c r="F35" s="12"/>
      <c r="G35" s="12"/>
    </row>
    <row r="36" spans="1:8" s="9" customFormat="1" outlineLevel="1" x14ac:dyDescent="0.15">
      <c r="A36" s="1" t="s">
        <v>44</v>
      </c>
      <c r="B36" s="2">
        <v>1</v>
      </c>
      <c r="C36" s="2" t="s">
        <v>178</v>
      </c>
      <c r="D36" s="2"/>
      <c r="E36" s="2"/>
      <c r="F36" s="1">
        <f>rhoV_p(B36)</f>
        <v>0.59031092354457815</v>
      </c>
      <c r="G36" s="1" t="s">
        <v>177</v>
      </c>
      <c r="H36" s="2" t="s">
        <v>192</v>
      </c>
    </row>
    <row r="37" spans="1:8" s="9" customFormat="1" outlineLevel="1" x14ac:dyDescent="0.15">
      <c r="A37" s="1" t="s">
        <v>45</v>
      </c>
      <c r="B37" s="2">
        <v>1</v>
      </c>
      <c r="C37" s="2" t="s">
        <v>178</v>
      </c>
      <c r="D37" s="2"/>
      <c r="E37" s="2"/>
      <c r="F37" s="1">
        <f>rhoL_P(B37)</f>
        <v>958.63688967603287</v>
      </c>
      <c r="G37" s="1" t="s">
        <v>177</v>
      </c>
      <c r="H37" s="2" t="s">
        <v>197</v>
      </c>
    </row>
    <row r="38" spans="1:8" s="9" customFormat="1" outlineLevel="1" x14ac:dyDescent="0.15">
      <c r="A38" s="1" t="s">
        <v>46</v>
      </c>
      <c r="B38" s="2">
        <v>100</v>
      </c>
      <c r="C38" s="2" t="s">
        <v>179</v>
      </c>
      <c r="D38" s="2"/>
      <c r="E38" s="2"/>
      <c r="F38" s="1">
        <f>rhoV_T(B38)</f>
        <v>0.59813599252570293</v>
      </c>
      <c r="G38" s="1" t="s">
        <v>177</v>
      </c>
      <c r="H38" s="2" t="s">
        <v>192</v>
      </c>
    </row>
    <row r="39" spans="1:8" s="9" customFormat="1" outlineLevel="1" x14ac:dyDescent="0.15">
      <c r="A39" s="1" t="s">
        <v>47</v>
      </c>
      <c r="B39" s="2">
        <v>100</v>
      </c>
      <c r="C39" s="2" t="s">
        <v>179</v>
      </c>
      <c r="D39" s="2"/>
      <c r="E39" s="2"/>
      <c r="F39" s="1">
        <f>rhoL_T(B39)</f>
        <v>958.35427728589013</v>
      </c>
      <c r="G39" s="1" t="s">
        <v>177</v>
      </c>
      <c r="H39" s="2" t="s">
        <v>197</v>
      </c>
    </row>
    <row r="40" spans="1:8" s="9" customFormat="1" outlineLevel="1" x14ac:dyDescent="0.15">
      <c r="A40" s="1" t="s">
        <v>48</v>
      </c>
      <c r="B40" s="2">
        <v>1</v>
      </c>
      <c r="C40" s="2" t="s">
        <v>178</v>
      </c>
      <c r="D40" s="2">
        <v>100</v>
      </c>
      <c r="E40" s="2" t="s">
        <v>179</v>
      </c>
      <c r="F40" s="1">
        <f>rho_pT(B40,D40)</f>
        <v>0.5896367540624714</v>
      </c>
      <c r="G40" s="1" t="s">
        <v>177</v>
      </c>
      <c r="H40" s="2" t="s">
        <v>231</v>
      </c>
    </row>
    <row r="41" spans="1:8" s="9" customFormat="1" outlineLevel="1" x14ac:dyDescent="0.15">
      <c r="A41" s="1" t="s">
        <v>49</v>
      </c>
      <c r="B41" s="2">
        <v>1</v>
      </c>
      <c r="C41" s="2" t="s">
        <v>178</v>
      </c>
      <c r="D41" s="2">
        <v>1000</v>
      </c>
      <c r="E41" s="2" t="s">
        <v>171</v>
      </c>
      <c r="F41" s="1">
        <f>rho_ph(B41,D41)</f>
        <v>2.2834926007086289</v>
      </c>
      <c r="G41" s="1" t="s">
        <v>177</v>
      </c>
      <c r="H41" s="2" t="s">
        <v>232</v>
      </c>
    </row>
    <row r="42" spans="1:8" s="9" customFormat="1" outlineLevel="1" x14ac:dyDescent="0.15">
      <c r="A42" s="1" t="s">
        <v>50</v>
      </c>
      <c r="B42" s="2">
        <v>1</v>
      </c>
      <c r="C42" s="2" t="s">
        <v>178</v>
      </c>
      <c r="D42" s="2">
        <v>1</v>
      </c>
      <c r="E42" s="2" t="s">
        <v>173</v>
      </c>
      <c r="F42" s="1">
        <f>rho_ps(B42,D42)</f>
        <v>975.62367884823243</v>
      </c>
      <c r="G42" s="1" t="s">
        <v>177</v>
      </c>
      <c r="H42" s="2" t="s">
        <v>233</v>
      </c>
    </row>
    <row r="43" spans="1:8" s="13" customFormat="1" ht="16" x14ac:dyDescent="0.2">
      <c r="A43" s="25" t="s">
        <v>180</v>
      </c>
      <c r="F43" s="12"/>
      <c r="G43" s="12"/>
    </row>
    <row r="44" spans="1:8" s="9" customFormat="1" outlineLevel="1" x14ac:dyDescent="0.15">
      <c r="A44" s="1" t="s">
        <v>51</v>
      </c>
      <c r="B44" s="2">
        <v>6.117E-3</v>
      </c>
      <c r="C44" s="2" t="s">
        <v>178</v>
      </c>
      <c r="D44" s="2"/>
      <c r="E44" s="2"/>
      <c r="F44" s="1">
        <f>sV_p(B44)</f>
        <v>9.1554655557132456</v>
      </c>
      <c r="G44" s="1" t="s">
        <v>173</v>
      </c>
      <c r="H44" s="2" t="s">
        <v>193</v>
      </c>
    </row>
    <row r="45" spans="1:8" s="9" customFormat="1" outlineLevel="1" x14ac:dyDescent="0.15">
      <c r="A45" s="1" t="s">
        <v>52</v>
      </c>
      <c r="B45" s="2">
        <v>6.1171000000000003E-3</v>
      </c>
      <c r="C45" s="2" t="s">
        <v>178</v>
      </c>
      <c r="D45" s="2"/>
      <c r="E45" s="2"/>
      <c r="F45" s="1">
        <f>sL_p(B45)</f>
        <v>1.8359025119631999E-5</v>
      </c>
      <c r="G45" s="1" t="s">
        <v>173</v>
      </c>
      <c r="H45" s="2" t="s">
        <v>198</v>
      </c>
    </row>
    <row r="46" spans="1:8" s="9" customFormat="1" outlineLevel="1" x14ac:dyDescent="0.15">
      <c r="A46" s="1" t="s">
        <v>53</v>
      </c>
      <c r="B46" s="2">
        <v>1E-4</v>
      </c>
      <c r="C46" s="2" t="s">
        <v>179</v>
      </c>
      <c r="D46" s="2"/>
      <c r="E46" s="2"/>
      <c r="F46" s="1">
        <f>sV_T(B46)</f>
        <v>9.1557567158855857</v>
      </c>
      <c r="G46" s="1" t="s">
        <v>173</v>
      </c>
      <c r="H46" s="2" t="s">
        <v>193</v>
      </c>
    </row>
    <row r="47" spans="1:8" s="9" customFormat="1" outlineLevel="1" x14ac:dyDescent="0.15">
      <c r="A47" s="1" t="s">
        <v>54</v>
      </c>
      <c r="B47" s="2">
        <v>100</v>
      </c>
      <c r="C47" s="2" t="s">
        <v>179</v>
      </c>
      <c r="D47" s="2"/>
      <c r="E47" s="2"/>
      <c r="F47" s="1">
        <f>sL_T(B47)</f>
        <v>1.3070143278413395</v>
      </c>
      <c r="G47" s="1" t="s">
        <v>173</v>
      </c>
      <c r="H47" s="2" t="s">
        <v>198</v>
      </c>
    </row>
    <row r="48" spans="1:8" s="9" customFormat="1" outlineLevel="1" x14ac:dyDescent="0.15">
      <c r="A48" s="1" t="s">
        <v>55</v>
      </c>
      <c r="B48" s="2">
        <v>1</v>
      </c>
      <c r="C48" s="2" t="s">
        <v>178</v>
      </c>
      <c r="D48" s="2">
        <v>20</v>
      </c>
      <c r="E48" s="2" t="s">
        <v>179</v>
      </c>
      <c r="F48" s="1">
        <f>s_pT(B48,D48)</f>
        <v>0.29648292080641009</v>
      </c>
      <c r="G48" s="1" t="s">
        <v>173</v>
      </c>
      <c r="H48" s="2" t="s">
        <v>128</v>
      </c>
    </row>
    <row r="49" spans="1:8" s="9" customFormat="1" outlineLevel="1" x14ac:dyDescent="0.15">
      <c r="A49" s="1" t="s">
        <v>56</v>
      </c>
      <c r="B49" s="2">
        <v>1</v>
      </c>
      <c r="C49" s="2" t="s">
        <v>178</v>
      </c>
      <c r="D49" s="2">
        <f>F22</f>
        <v>84.01181116713623</v>
      </c>
      <c r="E49" s="2" t="s">
        <v>171</v>
      </c>
      <c r="F49" s="1">
        <f>s_ph(B49,D49)</f>
        <v>0.29681384467642941</v>
      </c>
      <c r="G49" s="1" t="s">
        <v>173</v>
      </c>
      <c r="H49" s="2" t="s">
        <v>234</v>
      </c>
    </row>
    <row r="50" spans="1:8" s="13" customFormat="1" ht="16" x14ac:dyDescent="0.2">
      <c r="A50" s="25" t="s">
        <v>182</v>
      </c>
      <c r="F50" s="12"/>
      <c r="G50" s="12"/>
    </row>
    <row r="51" spans="1:8" s="9" customFormat="1" outlineLevel="1" x14ac:dyDescent="0.15">
      <c r="A51" s="1" t="s">
        <v>57</v>
      </c>
      <c r="B51" s="2">
        <v>1</v>
      </c>
      <c r="C51" s="2" t="s">
        <v>178</v>
      </c>
      <c r="D51" s="2"/>
      <c r="E51" s="2"/>
      <c r="F51" s="1">
        <f>uV_p(B51)</f>
        <v>2505.5473885418778</v>
      </c>
      <c r="G51" s="1" t="s">
        <v>171</v>
      </c>
      <c r="H51" s="2" t="s">
        <v>194</v>
      </c>
    </row>
    <row r="52" spans="1:8" s="9" customFormat="1" outlineLevel="1" x14ac:dyDescent="0.15">
      <c r="A52" s="1" t="s">
        <v>58</v>
      </c>
      <c r="B52" s="2">
        <v>1</v>
      </c>
      <c r="C52" s="2" t="s">
        <v>178</v>
      </c>
      <c r="D52" s="2"/>
      <c r="E52" s="2"/>
      <c r="F52" s="1">
        <f>uL_p(B52)</f>
        <v>417.33217103231618</v>
      </c>
      <c r="G52" s="1" t="s">
        <v>171</v>
      </c>
      <c r="H52" s="2" t="s">
        <v>199</v>
      </c>
    </row>
    <row r="53" spans="1:8" s="9" customFormat="1" outlineLevel="1" x14ac:dyDescent="0.15">
      <c r="A53" s="1" t="s">
        <v>59</v>
      </c>
      <c r="B53" s="2">
        <v>100</v>
      </c>
      <c r="C53" s="2" t="s">
        <v>179</v>
      </c>
      <c r="D53" s="2"/>
      <c r="E53" s="2"/>
      <c r="F53" s="1">
        <f>uV_T(B53)</f>
        <v>2506.0153076915708</v>
      </c>
      <c r="G53" s="1" t="s">
        <v>171</v>
      </c>
      <c r="H53" s="2" t="s">
        <v>194</v>
      </c>
    </row>
    <row r="54" spans="1:8" s="9" customFormat="1" outlineLevel="1" x14ac:dyDescent="0.15">
      <c r="A54" s="1" t="s">
        <v>60</v>
      </c>
      <c r="B54" s="2">
        <v>100</v>
      </c>
      <c r="C54" s="2" t="s">
        <v>179</v>
      </c>
      <c r="D54" s="2"/>
      <c r="E54" s="2"/>
      <c r="F54" s="1">
        <f>uL_T(B54)</f>
        <v>418.99332985524268</v>
      </c>
      <c r="G54" s="1" t="s">
        <v>171</v>
      </c>
      <c r="H54" s="2" t="s">
        <v>199</v>
      </c>
    </row>
    <row r="55" spans="1:8" s="9" customFormat="1" outlineLevel="1" x14ac:dyDescent="0.15">
      <c r="A55" s="1" t="s">
        <v>61</v>
      </c>
      <c r="B55" s="2">
        <v>1</v>
      </c>
      <c r="C55" s="2" t="s">
        <v>178</v>
      </c>
      <c r="D55" s="2">
        <v>100</v>
      </c>
      <c r="E55" s="2" t="s">
        <v>179</v>
      </c>
      <c r="F55" s="1">
        <f>u_pT(B55,D55)</f>
        <v>2506.1714264660072</v>
      </c>
      <c r="G55" s="1" t="s">
        <v>171</v>
      </c>
      <c r="H55" s="2" t="s">
        <v>235</v>
      </c>
    </row>
    <row r="56" spans="1:8" s="9" customFormat="1" outlineLevel="1" x14ac:dyDescent="0.15">
      <c r="A56" s="1" t="s">
        <v>62</v>
      </c>
      <c r="B56" s="2">
        <v>1</v>
      </c>
      <c r="C56" s="2" t="s">
        <v>178</v>
      </c>
      <c r="D56" s="2">
        <v>1000</v>
      </c>
      <c r="E56" s="2" t="s">
        <v>171</v>
      </c>
      <c r="F56" s="1">
        <f>u_ph(B56,D56)</f>
        <v>956.20743418701375</v>
      </c>
      <c r="G56" s="1" t="s">
        <v>171</v>
      </c>
      <c r="H56" s="2" t="s">
        <v>236</v>
      </c>
    </row>
    <row r="57" spans="1:8" s="9" customFormat="1" outlineLevel="1" x14ac:dyDescent="0.15">
      <c r="A57" s="1" t="s">
        <v>63</v>
      </c>
      <c r="B57" s="2">
        <v>1</v>
      </c>
      <c r="C57" s="2" t="s">
        <v>178</v>
      </c>
      <c r="D57" s="2">
        <v>1</v>
      </c>
      <c r="E57" s="2" t="s">
        <v>173</v>
      </c>
      <c r="F57" s="1">
        <f>u_ps(B57,D57)</f>
        <v>308.50821854568443</v>
      </c>
      <c r="G57" s="1" t="s">
        <v>171</v>
      </c>
      <c r="H57" s="2" t="s">
        <v>237</v>
      </c>
    </row>
    <row r="58" spans="1:8" s="13" customFormat="1" ht="16" x14ac:dyDescent="0.2">
      <c r="A58" s="25" t="s">
        <v>183</v>
      </c>
      <c r="F58" s="12"/>
      <c r="G58" s="12"/>
    </row>
    <row r="59" spans="1:8" s="9" customFormat="1" outlineLevel="1" x14ac:dyDescent="0.15">
      <c r="A59" s="1" t="s">
        <v>64</v>
      </c>
      <c r="B59" s="2">
        <v>1</v>
      </c>
      <c r="C59" s="2" t="s">
        <v>178</v>
      </c>
      <c r="D59" s="2"/>
      <c r="E59" s="2"/>
      <c r="F59" s="1">
        <f>CpV_p(B59)</f>
        <v>2.0759380252044393</v>
      </c>
      <c r="G59" s="1" t="s">
        <v>224</v>
      </c>
      <c r="H59" s="2" t="s">
        <v>201</v>
      </c>
    </row>
    <row r="60" spans="1:8" s="9" customFormat="1" outlineLevel="1" x14ac:dyDescent="0.15">
      <c r="A60" s="1" t="s">
        <v>65</v>
      </c>
      <c r="B60" s="2">
        <v>1</v>
      </c>
      <c r="C60" s="2" t="s">
        <v>178</v>
      </c>
      <c r="D60" s="2"/>
      <c r="E60" s="2"/>
      <c r="F60" s="1">
        <f>CpL_p(B60)</f>
        <v>4.2161494308387475</v>
      </c>
      <c r="G60" s="1" t="s">
        <v>224</v>
      </c>
      <c r="H60" s="2" t="s">
        <v>200</v>
      </c>
    </row>
    <row r="61" spans="1:8" s="9" customFormat="1" outlineLevel="1" x14ac:dyDescent="0.15">
      <c r="A61" s="1" t="s">
        <v>66</v>
      </c>
      <c r="B61" s="2">
        <v>100</v>
      </c>
      <c r="C61" s="2" t="s">
        <v>179</v>
      </c>
      <c r="D61" s="2"/>
      <c r="E61" s="2"/>
      <c r="F61" s="1">
        <f>CpV_T(B61)</f>
        <v>2.0774918684822654</v>
      </c>
      <c r="G61" s="1" t="s">
        <v>224</v>
      </c>
      <c r="H61" s="2" t="s">
        <v>201</v>
      </c>
    </row>
    <row r="62" spans="1:8" s="9" customFormat="1" outlineLevel="1" x14ac:dyDescent="0.15">
      <c r="A62" s="1" t="s">
        <v>67</v>
      </c>
      <c r="B62" s="2">
        <v>100</v>
      </c>
      <c r="C62" s="2" t="s">
        <v>179</v>
      </c>
      <c r="D62" s="2"/>
      <c r="E62" s="2"/>
      <c r="F62" s="1">
        <f>CpL_T(B62)</f>
        <v>4.2166451189235845</v>
      </c>
      <c r="G62" s="1" t="s">
        <v>224</v>
      </c>
      <c r="H62" s="2" t="s">
        <v>200</v>
      </c>
    </row>
    <row r="63" spans="1:8" s="9" customFormat="1" outlineLevel="1" x14ac:dyDescent="0.15">
      <c r="A63" s="1" t="s">
        <v>68</v>
      </c>
      <c r="B63" s="2">
        <v>1</v>
      </c>
      <c r="C63" s="2" t="s">
        <v>178</v>
      </c>
      <c r="D63" s="2">
        <v>100</v>
      </c>
      <c r="E63" s="2" t="s">
        <v>179</v>
      </c>
      <c r="F63" s="1">
        <f>Cp_pT(B63,D63)</f>
        <v>2.0741085545801092</v>
      </c>
      <c r="G63" s="1" t="s">
        <v>224</v>
      </c>
      <c r="H63" s="2" t="s">
        <v>238</v>
      </c>
    </row>
    <row r="64" spans="1:8" s="9" customFormat="1" outlineLevel="1" x14ac:dyDescent="0.15">
      <c r="A64" s="1" t="s">
        <v>69</v>
      </c>
      <c r="B64" s="2">
        <v>1</v>
      </c>
      <c r="C64" s="2" t="s">
        <v>178</v>
      </c>
      <c r="D64" s="2">
        <v>200</v>
      </c>
      <c r="E64" s="2" t="s">
        <v>171</v>
      </c>
      <c r="F64" s="1">
        <f>Cp_ph(B64,D64)</f>
        <v>4.1791357316880209</v>
      </c>
      <c r="G64" s="1" t="s">
        <v>224</v>
      </c>
      <c r="H64" s="2" t="s">
        <v>239</v>
      </c>
    </row>
    <row r="65" spans="1:8" s="9" customFormat="1" outlineLevel="1" x14ac:dyDescent="0.15">
      <c r="A65" s="1" t="s">
        <v>70</v>
      </c>
      <c r="B65" s="2">
        <v>1</v>
      </c>
      <c r="C65" s="2" t="s">
        <v>178</v>
      </c>
      <c r="D65" s="2">
        <v>1</v>
      </c>
      <c r="E65" s="2" t="s">
        <v>173</v>
      </c>
      <c r="F65" s="1">
        <f>Cp_ps(B65,D65)</f>
        <v>4.1906070379012936</v>
      </c>
      <c r="G65" s="1" t="s">
        <v>224</v>
      </c>
      <c r="H65" s="2" t="s">
        <v>240</v>
      </c>
    </row>
    <row r="66" spans="1:8" s="13" customFormat="1" ht="16" x14ac:dyDescent="0.2">
      <c r="A66" s="25" t="s">
        <v>185</v>
      </c>
      <c r="F66" s="12"/>
      <c r="G66" s="12"/>
    </row>
    <row r="67" spans="1:8" s="9" customFormat="1" outlineLevel="1" x14ac:dyDescent="0.15">
      <c r="A67" s="1" t="s">
        <v>71</v>
      </c>
      <c r="B67" s="2">
        <v>1</v>
      </c>
      <c r="C67" s="2" t="s">
        <v>178</v>
      </c>
      <c r="D67" s="2"/>
      <c r="E67" s="2"/>
      <c r="F67" s="1">
        <f>CvV_p(B67)</f>
        <v>1.5526969793308025</v>
      </c>
      <c r="G67" s="1" t="s">
        <v>224</v>
      </c>
      <c r="H67" s="2" t="s">
        <v>203</v>
      </c>
    </row>
    <row r="68" spans="1:8" s="9" customFormat="1" outlineLevel="1" x14ac:dyDescent="0.15">
      <c r="A68" s="1" t="s">
        <v>72</v>
      </c>
      <c r="B68" s="2">
        <v>1</v>
      </c>
      <c r="C68" s="2" t="s">
        <v>178</v>
      </c>
      <c r="D68" s="2"/>
      <c r="E68" s="2"/>
      <c r="F68" s="1">
        <f>CvL_p(B68)</f>
        <v>3.7696996827334974</v>
      </c>
      <c r="G68" s="1" t="s">
        <v>224</v>
      </c>
      <c r="H68" s="2" t="s">
        <v>202</v>
      </c>
    </row>
    <row r="69" spans="1:8" s="9" customFormat="1" outlineLevel="1" x14ac:dyDescent="0.15">
      <c r="A69" s="1" t="s">
        <v>73</v>
      </c>
      <c r="B69" s="2">
        <v>100</v>
      </c>
      <c r="C69" s="2" t="s">
        <v>179</v>
      </c>
      <c r="D69" s="2"/>
      <c r="E69" s="2"/>
      <c r="F69" s="1">
        <f>CvV_T(B69)</f>
        <v>1.5536986960345103</v>
      </c>
      <c r="G69" s="1" t="s">
        <v>224</v>
      </c>
      <c r="H69" s="2" t="s">
        <v>203</v>
      </c>
    </row>
    <row r="70" spans="1:8" s="9" customFormat="1" outlineLevel="1" x14ac:dyDescent="0.15">
      <c r="A70" s="1" t="s">
        <v>74</v>
      </c>
      <c r="B70" s="2">
        <v>100</v>
      </c>
      <c r="C70" s="2" t="s">
        <v>179</v>
      </c>
      <c r="D70" s="2"/>
      <c r="E70" s="2"/>
      <c r="F70" s="1">
        <f>CvL_T(B70)</f>
        <v>3.7677002201427507</v>
      </c>
      <c r="G70" s="1" t="s">
        <v>224</v>
      </c>
      <c r="H70" s="2" t="s">
        <v>202</v>
      </c>
    </row>
    <row r="71" spans="1:8" s="9" customFormat="1" outlineLevel="1" x14ac:dyDescent="0.15">
      <c r="A71" s="1" t="s">
        <v>75</v>
      </c>
      <c r="B71" s="2">
        <v>1</v>
      </c>
      <c r="C71" s="2" t="s">
        <v>178</v>
      </c>
      <c r="D71" s="2">
        <v>100</v>
      </c>
      <c r="E71" s="2" t="s">
        <v>179</v>
      </c>
      <c r="F71" s="1">
        <f>Cv_pT(B71,D71)</f>
        <v>1.5513972494644879</v>
      </c>
      <c r="G71" s="1" t="s">
        <v>224</v>
      </c>
      <c r="H71" s="2" t="s">
        <v>241</v>
      </c>
    </row>
    <row r="72" spans="1:8" s="9" customFormat="1" outlineLevel="1" x14ac:dyDescent="0.15">
      <c r="A72" s="1" t="s">
        <v>76</v>
      </c>
      <c r="B72" s="2">
        <v>1</v>
      </c>
      <c r="C72" s="2" t="s">
        <v>178</v>
      </c>
      <c r="D72" s="2">
        <v>200</v>
      </c>
      <c r="E72" s="2" t="s">
        <v>171</v>
      </c>
      <c r="F72" s="1">
        <f>Cv_ph(B72,D72)</f>
        <v>4.0351763635796729</v>
      </c>
      <c r="G72" s="1" t="s">
        <v>224</v>
      </c>
      <c r="H72" s="2" t="s">
        <v>242</v>
      </c>
    </row>
    <row r="73" spans="1:8" s="9" customFormat="1" outlineLevel="1" x14ac:dyDescent="0.15">
      <c r="A73" s="1" t="s">
        <v>77</v>
      </c>
      <c r="B73" s="2">
        <v>1</v>
      </c>
      <c r="C73" s="2" t="s">
        <v>178</v>
      </c>
      <c r="D73" s="2">
        <v>1</v>
      </c>
      <c r="E73" s="2" t="s">
        <v>173</v>
      </c>
      <c r="F73" s="1">
        <f>Cv_ps(B73,D73)</f>
        <v>3.9029194681136645</v>
      </c>
      <c r="G73" s="1" t="s">
        <v>224</v>
      </c>
      <c r="H73" s="2" t="s">
        <v>243</v>
      </c>
    </row>
    <row r="74" spans="1:8" s="13" customFormat="1" ht="16" x14ac:dyDescent="0.2">
      <c r="A74" s="25" t="s">
        <v>184</v>
      </c>
      <c r="F74" s="12"/>
      <c r="G74" s="12"/>
    </row>
    <row r="75" spans="1:8" s="9" customFormat="1" outlineLevel="1" x14ac:dyDescent="0.15">
      <c r="A75" s="1" t="s">
        <v>78</v>
      </c>
      <c r="B75" s="2">
        <v>1</v>
      </c>
      <c r="C75" s="2" t="s">
        <v>178</v>
      </c>
      <c r="D75" s="2"/>
      <c r="E75" s="2"/>
      <c r="F75" s="1">
        <f>wV_p(B75)</f>
        <v>472.05415710604763</v>
      </c>
      <c r="G75" s="1" t="s">
        <v>174</v>
      </c>
      <c r="H75" s="2" t="s">
        <v>205</v>
      </c>
    </row>
    <row r="76" spans="1:8" s="9" customFormat="1" outlineLevel="1" x14ac:dyDescent="0.15">
      <c r="A76" s="1" t="s">
        <v>79</v>
      </c>
      <c r="B76" s="2">
        <v>1</v>
      </c>
      <c r="C76" s="2" t="s">
        <v>178</v>
      </c>
      <c r="D76" s="2"/>
      <c r="E76" s="2"/>
      <c r="F76" s="1">
        <f>wL_p(B76)</f>
        <v>1545.4519475339648</v>
      </c>
      <c r="G76" s="1" t="s">
        <v>174</v>
      </c>
      <c r="H76" s="2" t="s">
        <v>204</v>
      </c>
    </row>
    <row r="77" spans="1:8" s="9" customFormat="1" outlineLevel="1" x14ac:dyDescent="0.15">
      <c r="A77" s="1" t="s">
        <v>80</v>
      </c>
      <c r="B77" s="2">
        <v>100</v>
      </c>
      <c r="C77" s="2" t="s">
        <v>179</v>
      </c>
      <c r="D77" s="2"/>
      <c r="E77" s="2"/>
      <c r="F77" s="1">
        <f>wV_T(B77)</f>
        <v>472.2559492389438</v>
      </c>
      <c r="G77" s="1" t="s">
        <v>174</v>
      </c>
      <c r="H77" s="2" t="s">
        <v>205</v>
      </c>
    </row>
    <row r="78" spans="1:8" s="9" customFormat="1" outlineLevel="1" x14ac:dyDescent="0.15">
      <c r="A78" s="1" t="s">
        <v>81</v>
      </c>
      <c r="B78" s="2">
        <v>100</v>
      </c>
      <c r="C78" s="2" t="s">
        <v>179</v>
      </c>
      <c r="D78" s="2"/>
      <c r="E78" s="2"/>
      <c r="F78" s="1">
        <f>wL_T(B78)</f>
        <v>1545.0922491938707</v>
      </c>
      <c r="G78" s="1" t="s">
        <v>174</v>
      </c>
      <c r="H78" s="2" t="s">
        <v>204</v>
      </c>
    </row>
    <row r="79" spans="1:8" s="9" customFormat="1" outlineLevel="1" x14ac:dyDescent="0.15">
      <c r="A79" s="1" t="s">
        <v>82</v>
      </c>
      <c r="B79" s="2">
        <v>1</v>
      </c>
      <c r="C79" s="2" t="s">
        <v>178</v>
      </c>
      <c r="D79" s="2">
        <v>100</v>
      </c>
      <c r="E79" s="2" t="s">
        <v>179</v>
      </c>
      <c r="F79" s="1">
        <f>w_pT(B79,D79)</f>
        <v>472.33752352485521</v>
      </c>
      <c r="G79" s="1" t="s">
        <v>174</v>
      </c>
      <c r="H79" s="2" t="s">
        <v>244</v>
      </c>
    </row>
    <row r="80" spans="1:8" s="9" customFormat="1" outlineLevel="1" x14ac:dyDescent="0.15">
      <c r="A80" s="1" t="s">
        <v>83</v>
      </c>
      <c r="B80" s="2">
        <v>1</v>
      </c>
      <c r="C80" s="2" t="s">
        <v>178</v>
      </c>
      <c r="D80" s="2">
        <v>200</v>
      </c>
      <c r="E80" s="2" t="s">
        <v>171</v>
      </c>
      <c r="F80" s="1">
        <f>w_ph(B80,D80)</f>
        <v>1542.6824750114695</v>
      </c>
      <c r="G80" s="1" t="s">
        <v>174</v>
      </c>
      <c r="H80" s="2" t="s">
        <v>245</v>
      </c>
    </row>
    <row r="81" spans="1:13" s="9" customFormat="1" outlineLevel="1" x14ac:dyDescent="0.15">
      <c r="A81" s="1" t="s">
        <v>84</v>
      </c>
      <c r="B81" s="2">
        <v>1</v>
      </c>
      <c r="C81" s="2" t="s">
        <v>178</v>
      </c>
      <c r="D81" s="2">
        <v>1</v>
      </c>
      <c r="E81" s="2" t="s">
        <v>173</v>
      </c>
      <c r="F81" s="1">
        <f>w_ps(B81,D81)</f>
        <v>1557.8585355322159</v>
      </c>
      <c r="G81" s="1" t="s">
        <v>174</v>
      </c>
      <c r="H81" s="2" t="s">
        <v>114</v>
      </c>
    </row>
    <row r="82" spans="1:13" s="13" customFormat="1" ht="16" x14ac:dyDescent="0.2">
      <c r="A82" s="25" t="s">
        <v>7</v>
      </c>
      <c r="F82" s="12"/>
      <c r="G82" s="12"/>
    </row>
    <row r="83" spans="1:13" s="9" customFormat="1" ht="11" outlineLevel="1" x14ac:dyDescent="0.15">
      <c r="A83" s="9" t="s">
        <v>127</v>
      </c>
      <c r="F83" s="11"/>
      <c r="G83" s="11"/>
    </row>
    <row r="84" spans="1:13" s="9" customFormat="1" ht="11" outlineLevel="1" x14ac:dyDescent="0.15">
      <c r="A84" s="9" t="s">
        <v>210</v>
      </c>
      <c r="F84" s="11"/>
      <c r="G84" s="11"/>
    </row>
    <row r="85" spans="1:13" s="9" customFormat="1" outlineLevel="1" x14ac:dyDescent="0.15">
      <c r="A85" s="1" t="s">
        <v>85</v>
      </c>
      <c r="B85" s="2">
        <v>1</v>
      </c>
      <c r="C85" s="2" t="s">
        <v>178</v>
      </c>
      <c r="D85" s="2">
        <v>100</v>
      </c>
      <c r="E85" s="2" t="s">
        <v>179</v>
      </c>
      <c r="F85" s="1">
        <f>my_pT(B85,D85)</f>
        <v>1.2270405707196506E-5</v>
      </c>
      <c r="G85" s="1" t="s">
        <v>207</v>
      </c>
      <c r="H85" s="2" t="s">
        <v>115</v>
      </c>
    </row>
    <row r="86" spans="1:13" s="9" customFormat="1" outlineLevel="1" x14ac:dyDescent="0.15">
      <c r="A86" s="1" t="s">
        <v>86</v>
      </c>
      <c r="B86" s="2">
        <v>1</v>
      </c>
      <c r="C86" s="2" t="s">
        <v>178</v>
      </c>
      <c r="D86" s="2">
        <v>100</v>
      </c>
      <c r="E86" s="2" t="s">
        <v>171</v>
      </c>
      <c r="F86" s="10">
        <f>my_ph(B86,D86)</f>
        <v>9.1400377030210805E-4</v>
      </c>
      <c r="G86" s="1" t="s">
        <v>207</v>
      </c>
      <c r="H86" s="2" t="s">
        <v>116</v>
      </c>
    </row>
    <row r="87" spans="1:13" s="9" customFormat="1" outlineLevel="1" x14ac:dyDescent="0.15">
      <c r="A87" s="1" t="s">
        <v>87</v>
      </c>
      <c r="B87" s="2">
        <v>1</v>
      </c>
      <c r="C87" s="2" t="s">
        <v>178</v>
      </c>
      <c r="D87" s="2">
        <v>1</v>
      </c>
      <c r="E87" s="2" t="s">
        <v>173</v>
      </c>
      <c r="F87" s="10">
        <f>my_ps(B87,D87)</f>
        <v>3.8422186564756434E-4</v>
      </c>
      <c r="G87" s="1" t="s">
        <v>207</v>
      </c>
      <c r="H87" s="2" t="s">
        <v>117</v>
      </c>
    </row>
    <row r="88" spans="1:13" ht="18" x14ac:dyDescent="0.2">
      <c r="A88" s="6" t="s">
        <v>2</v>
      </c>
      <c r="F88" s="10"/>
      <c r="H88" s="40"/>
      <c r="I88" s="7"/>
      <c r="J88" s="7"/>
      <c r="K88" s="7"/>
      <c r="L88" s="7"/>
      <c r="M88" s="7"/>
    </row>
    <row r="89" spans="1:13" outlineLevel="1" x14ac:dyDescent="0.15">
      <c r="A89" s="9" t="s">
        <v>8</v>
      </c>
      <c r="F89" s="10"/>
      <c r="H89" s="40"/>
      <c r="I89" s="7"/>
      <c r="J89" s="7"/>
      <c r="K89" s="7"/>
      <c r="L89" s="7"/>
      <c r="M89" s="7"/>
    </row>
    <row r="90" spans="1:13" outlineLevel="1" x14ac:dyDescent="0.15">
      <c r="A90" s="1" t="s">
        <v>88</v>
      </c>
      <c r="B90">
        <v>1</v>
      </c>
      <c r="C90" t="s">
        <v>178</v>
      </c>
      <c r="D90">
        <v>200</v>
      </c>
      <c r="E90" t="s">
        <v>179</v>
      </c>
      <c r="F90" s="10">
        <f>pr_pT(B90,D90)</f>
        <v>0.95780821438588049</v>
      </c>
      <c r="G90" s="1" t="s">
        <v>11</v>
      </c>
      <c r="H90" s="40"/>
      <c r="I90" s="7"/>
      <c r="J90" s="7"/>
      <c r="K90" s="7"/>
      <c r="L90" s="7"/>
      <c r="M90" s="7"/>
    </row>
    <row r="91" spans="1:13" outlineLevel="1" x14ac:dyDescent="0.15">
      <c r="A91" s="1" t="s">
        <v>89</v>
      </c>
      <c r="B91">
        <v>1</v>
      </c>
      <c r="C91" t="s">
        <v>178</v>
      </c>
      <c r="D91">
        <v>2875.4750649489024</v>
      </c>
      <c r="E91" t="s">
        <v>171</v>
      </c>
      <c r="F91" s="10">
        <f>pr_ph(B91,D91)</f>
        <v>0.95780826148355769</v>
      </c>
      <c r="G91" s="1" t="s">
        <v>11</v>
      </c>
      <c r="H91" s="40"/>
      <c r="I91" s="7"/>
      <c r="J91" s="7"/>
      <c r="K91" s="7"/>
      <c r="L91" s="7"/>
      <c r="M91" s="7"/>
    </row>
    <row r="92" spans="1:13" s="13" customFormat="1" ht="16" x14ac:dyDescent="0.2">
      <c r="A92" s="25" t="s">
        <v>129</v>
      </c>
      <c r="F92" s="12"/>
      <c r="G92" s="12"/>
      <c r="H92" s="41"/>
      <c r="I92" s="41"/>
      <c r="J92" s="41"/>
      <c r="K92" s="41"/>
      <c r="L92" s="41"/>
      <c r="M92" s="41"/>
    </row>
    <row r="93" spans="1:13" s="9" customFormat="1" ht="11" outlineLevel="1" x14ac:dyDescent="0.15">
      <c r="A93" s="9" t="s">
        <v>130</v>
      </c>
      <c r="F93" s="11"/>
      <c r="G93" s="11"/>
    </row>
    <row r="94" spans="1:13" s="9" customFormat="1" outlineLevel="1" x14ac:dyDescent="0.15">
      <c r="A94" s="1" t="s">
        <v>90</v>
      </c>
      <c r="B94" s="2">
        <v>100</v>
      </c>
      <c r="C94" s="2" t="s">
        <v>178</v>
      </c>
      <c r="D94" s="2"/>
      <c r="E94" s="2"/>
      <c r="F94" s="1">
        <f>tcL_p(B94)</f>
        <v>0.52454019458257217</v>
      </c>
      <c r="G94" s="1" t="s">
        <v>131</v>
      </c>
      <c r="H94" s="2" t="s">
        <v>132</v>
      </c>
    </row>
    <row r="95" spans="1:13" s="9" customFormat="1" outlineLevel="1" x14ac:dyDescent="0.15">
      <c r="A95" s="1" t="s">
        <v>91</v>
      </c>
      <c r="B95" s="2">
        <v>1</v>
      </c>
      <c r="C95" s="2" t="s">
        <v>178</v>
      </c>
      <c r="D95" s="2"/>
      <c r="E95" s="2"/>
      <c r="F95" s="1">
        <f>tcV_p(B95)</f>
        <v>2.4753667592350453E-2</v>
      </c>
      <c r="G95" s="1" t="s">
        <v>131</v>
      </c>
      <c r="H95" s="2" t="s">
        <v>133</v>
      </c>
    </row>
    <row r="96" spans="1:13" s="9" customFormat="1" outlineLevel="1" x14ac:dyDescent="0.15">
      <c r="A96" s="1" t="s">
        <v>92</v>
      </c>
      <c r="B96" s="2">
        <v>100</v>
      </c>
      <c r="C96" s="2" t="s">
        <v>179</v>
      </c>
      <c r="D96" s="2"/>
      <c r="E96" s="2"/>
      <c r="F96" s="1">
        <f>tcL_T(B96)</f>
        <v>0.67775751158715036</v>
      </c>
      <c r="G96" s="1" t="s">
        <v>131</v>
      </c>
      <c r="H96" s="2" t="s">
        <v>132</v>
      </c>
    </row>
    <row r="97" spans="1:8" s="9" customFormat="1" outlineLevel="1" x14ac:dyDescent="0.15">
      <c r="A97" s="1" t="s">
        <v>93</v>
      </c>
      <c r="B97" s="2">
        <v>100</v>
      </c>
      <c r="C97" s="2" t="s">
        <v>179</v>
      </c>
      <c r="D97" s="2"/>
      <c r="E97" s="2"/>
      <c r="F97" s="1">
        <f>tcV_T(B97)</f>
        <v>2.4793871441017475E-2</v>
      </c>
      <c r="G97" s="1" t="s">
        <v>131</v>
      </c>
      <c r="H97" s="2" t="s">
        <v>133</v>
      </c>
    </row>
    <row r="98" spans="1:8" s="9" customFormat="1" outlineLevel="1" x14ac:dyDescent="0.15">
      <c r="A98" s="1" t="s">
        <v>94</v>
      </c>
      <c r="B98" s="2">
        <v>100</v>
      </c>
      <c r="C98" s="2" t="s">
        <v>178</v>
      </c>
      <c r="D98" s="2">
        <v>350</v>
      </c>
      <c r="E98" s="2" t="s">
        <v>179</v>
      </c>
      <c r="F98" s="1">
        <f>tc_pt(B98,D98)</f>
        <v>6.8545303752530942E-2</v>
      </c>
      <c r="G98" s="1" t="s">
        <v>131</v>
      </c>
      <c r="H98" s="2" t="s">
        <v>134</v>
      </c>
    </row>
    <row r="99" spans="1:8" s="9" customFormat="1" outlineLevel="1" x14ac:dyDescent="0.15">
      <c r="A99" s="1" t="s">
        <v>95</v>
      </c>
      <c r="B99" s="2">
        <v>1</v>
      </c>
      <c r="C99" s="2" t="s">
        <v>178</v>
      </c>
      <c r="D99" s="2">
        <v>350</v>
      </c>
      <c r="E99" s="2" t="s">
        <v>173</v>
      </c>
      <c r="F99" s="1">
        <f>tc_ph(B99,D99)</f>
        <v>0.66929633215745066</v>
      </c>
      <c r="G99" s="1" t="s">
        <v>131</v>
      </c>
      <c r="H99" s="2" t="s">
        <v>135</v>
      </c>
    </row>
    <row r="100" spans="1:8" s="9" customFormat="1" outlineLevel="1" x14ac:dyDescent="0.15">
      <c r="A100" s="1" t="s">
        <v>96</v>
      </c>
      <c r="B100" s="2">
        <v>100</v>
      </c>
      <c r="C100" s="2" t="s">
        <v>173</v>
      </c>
      <c r="D100" s="2">
        <v>0.34</v>
      </c>
      <c r="E100" s="2" t="s">
        <v>173</v>
      </c>
      <c r="F100" s="1">
        <f>tc_hs(B100,D100)</f>
        <v>0.60628312384891225</v>
      </c>
      <c r="G100" s="1" t="s">
        <v>131</v>
      </c>
      <c r="H100" s="2" t="s">
        <v>136</v>
      </c>
    </row>
    <row r="101" spans="1:8" s="9" customFormat="1" ht="16" x14ac:dyDescent="0.2">
      <c r="A101" s="25" t="s">
        <v>137</v>
      </c>
      <c r="B101" s="2"/>
      <c r="C101" s="2"/>
      <c r="D101" s="2"/>
      <c r="E101" s="2"/>
      <c r="F101" s="1"/>
      <c r="G101" s="1"/>
      <c r="H101" s="2"/>
    </row>
    <row r="102" spans="1:8" s="9" customFormat="1" ht="11" outlineLevel="1" x14ac:dyDescent="0.15">
      <c r="A102" s="9" t="s">
        <v>138</v>
      </c>
      <c r="F102" s="11"/>
      <c r="G102" s="11"/>
    </row>
    <row r="103" spans="1:8" s="9" customFormat="1" outlineLevel="1" x14ac:dyDescent="0.15">
      <c r="A103" s="1" t="s">
        <v>97</v>
      </c>
      <c r="B103" s="2">
        <v>100</v>
      </c>
      <c r="C103" s="2" t="s">
        <v>179</v>
      </c>
      <c r="D103" s="2"/>
      <c r="E103" s="2"/>
      <c r="F103" s="1">
        <f>st_T(B104)</f>
        <v>7.5507661585837646E-2</v>
      </c>
      <c r="G103" s="1" t="s">
        <v>139</v>
      </c>
      <c r="H103" s="2" t="s">
        <v>141</v>
      </c>
    </row>
    <row r="104" spans="1:8" s="9" customFormat="1" outlineLevel="1" x14ac:dyDescent="0.15">
      <c r="A104" s="1" t="s">
        <v>98</v>
      </c>
      <c r="B104" s="2">
        <v>1</v>
      </c>
      <c r="C104" s="2" t="s">
        <v>178</v>
      </c>
      <c r="D104" s="2"/>
      <c r="E104" s="2"/>
      <c r="F104" s="1">
        <f>st_p(B104)</f>
        <v>5.8987784180859933E-2</v>
      </c>
      <c r="G104" s="1" t="s">
        <v>139</v>
      </c>
      <c r="H104" s="2" t="s">
        <v>141</v>
      </c>
    </row>
    <row r="105" spans="1:8" s="13" customFormat="1" ht="16" x14ac:dyDescent="0.2">
      <c r="A105" s="25" t="s">
        <v>206</v>
      </c>
      <c r="F105" s="12"/>
      <c r="G105" s="12"/>
    </row>
    <row r="106" spans="1:8" s="9" customFormat="1" outlineLevel="1" x14ac:dyDescent="0.15">
      <c r="A106" s="1" t="s">
        <v>99</v>
      </c>
      <c r="B106" s="2">
        <v>1</v>
      </c>
      <c r="C106" s="2" t="s">
        <v>178</v>
      </c>
      <c r="D106" s="2">
        <v>1000</v>
      </c>
      <c r="E106" s="2" t="s">
        <v>171</v>
      </c>
      <c r="F106" s="1">
        <f>x_ph(B106,D106)</f>
        <v>0.25805542390279518</v>
      </c>
      <c r="G106" s="1"/>
      <c r="H106" s="2" t="s">
        <v>118</v>
      </c>
    </row>
    <row r="107" spans="1:8" s="9" customFormat="1" outlineLevel="1" x14ac:dyDescent="0.15">
      <c r="A107" s="1" t="s">
        <v>100</v>
      </c>
      <c r="B107" s="2">
        <v>1</v>
      </c>
      <c r="C107" s="2" t="s">
        <v>178</v>
      </c>
      <c r="D107" s="2">
        <v>4</v>
      </c>
      <c r="E107" s="2" t="s">
        <v>173</v>
      </c>
      <c r="F107" s="1">
        <f>x_ps(B107,D107)</f>
        <v>0.4453979607323203</v>
      </c>
      <c r="G107" s="1"/>
      <c r="H107" s="2" t="s">
        <v>119</v>
      </c>
    </row>
    <row r="108" spans="1:8" s="13" customFormat="1" ht="16" x14ac:dyDescent="0.2">
      <c r="A108" s="25" t="s">
        <v>126</v>
      </c>
      <c r="F108" s="12"/>
      <c r="G108" s="12"/>
    </row>
    <row r="109" spans="1:8" s="9" customFormat="1" ht="11" outlineLevel="1" x14ac:dyDescent="0.15">
      <c r="A109" s="9" t="s">
        <v>216</v>
      </c>
      <c r="F109" s="11"/>
      <c r="G109" s="11"/>
    </row>
    <row r="110" spans="1:8" s="9" customFormat="1" ht="11" outlineLevel="1" x14ac:dyDescent="0.15">
      <c r="A110" s="9" t="s">
        <v>209</v>
      </c>
      <c r="F110" s="11"/>
      <c r="G110" s="11"/>
    </row>
    <row r="111" spans="1:8" s="9" customFormat="1" outlineLevel="1" x14ac:dyDescent="0.15">
      <c r="A111" s="1" t="s">
        <v>101</v>
      </c>
      <c r="B111" s="2">
        <v>1</v>
      </c>
      <c r="C111" s="2" t="s">
        <v>178</v>
      </c>
      <c r="D111" s="2">
        <v>418</v>
      </c>
      <c r="E111" s="2" t="s">
        <v>171</v>
      </c>
      <c r="F111" s="8">
        <f>vx_ph(B111,D111)</f>
        <v>0.28849309343706725</v>
      </c>
      <c r="G111" s="1"/>
      <c r="H111" s="2" t="s">
        <v>120</v>
      </c>
    </row>
    <row r="112" spans="1:8" s="9" customFormat="1" outlineLevel="1" x14ac:dyDescent="0.15">
      <c r="A112" s="1" t="s">
        <v>102</v>
      </c>
      <c r="B112" s="2">
        <v>1</v>
      </c>
      <c r="C112" s="2" t="s">
        <v>178</v>
      </c>
      <c r="D112" s="2">
        <v>4</v>
      </c>
      <c r="E112" s="2" t="s">
        <v>173</v>
      </c>
      <c r="F112" s="8">
        <f>vx_ps(B112,D112)</f>
        <v>0.99923382663888027</v>
      </c>
      <c r="G112" s="1"/>
      <c r="H112" s="2" t="s">
        <v>121</v>
      </c>
    </row>
    <row r="113" spans="1:7" s="9" customFormat="1" ht="11" x14ac:dyDescent="0.15">
      <c r="F113" s="11"/>
      <c r="G113" s="11"/>
    </row>
    <row r="114" spans="1:7" ht="16" x14ac:dyDescent="0.2">
      <c r="A114" s="25" t="s">
        <v>12</v>
      </c>
    </row>
    <row r="115" spans="1:7" x14ac:dyDescent="0.15">
      <c r="A115" s="11" t="s">
        <v>113</v>
      </c>
    </row>
    <row r="116" spans="1:7" x14ac:dyDescent="0.15">
      <c r="A116" s="9" t="s">
        <v>1</v>
      </c>
    </row>
    <row r="117" spans="1:7" x14ac:dyDescent="0.15">
      <c r="A117" s="9" t="s">
        <v>112</v>
      </c>
    </row>
    <row r="118" spans="1:7" x14ac:dyDescent="0.15">
      <c r="A118" s="11" t="s">
        <v>109</v>
      </c>
    </row>
    <row r="119" spans="1:7" x14ac:dyDescent="0.15">
      <c r="A119" s="9" t="s">
        <v>111</v>
      </c>
    </row>
    <row r="120" spans="1:7" x14ac:dyDescent="0.15">
      <c r="A120" s="9" t="s">
        <v>110</v>
      </c>
    </row>
    <row r="121" spans="1:7" x14ac:dyDescent="0.15">
      <c r="A121" s="9" t="s">
        <v>108</v>
      </c>
    </row>
    <row r="122" spans="1:7" x14ac:dyDescent="0.15">
      <c r="A122" s="11" t="s">
        <v>106</v>
      </c>
    </row>
    <row r="123" spans="1:7" x14ac:dyDescent="0.15">
      <c r="A123" s="9" t="s">
        <v>107</v>
      </c>
    </row>
    <row r="124" spans="1:7" x14ac:dyDescent="0.15">
      <c r="A124" s="11" t="s">
        <v>19</v>
      </c>
    </row>
    <row r="125" spans="1:7" x14ac:dyDescent="0.15">
      <c r="A125" s="9" t="s">
        <v>105</v>
      </c>
    </row>
    <row r="126" spans="1:7" x14ac:dyDescent="0.15">
      <c r="A126" s="9" t="s">
        <v>104</v>
      </c>
    </row>
    <row r="127" spans="1:7" ht="11" customHeight="1" x14ac:dyDescent="0.15">
      <c r="A127" s="9" t="s">
        <v>103</v>
      </c>
    </row>
    <row r="128" spans="1:7" ht="11.5" customHeight="1" x14ac:dyDescent="0.15">
      <c r="A128" s="9" t="s">
        <v>20</v>
      </c>
    </row>
    <row r="129" spans="1:1" ht="11.5" customHeight="1" x14ac:dyDescent="0.15">
      <c r="A129" s="11" t="s">
        <v>14</v>
      </c>
    </row>
    <row r="130" spans="1:1" x14ac:dyDescent="0.15">
      <c r="A130" s="9" t="s">
        <v>17</v>
      </c>
    </row>
    <row r="131" spans="1:1" x14ac:dyDescent="0.15">
      <c r="A131" s="9" t="s">
        <v>10</v>
      </c>
    </row>
    <row r="132" spans="1:1" x14ac:dyDescent="0.15">
      <c r="A132" s="9" t="s">
        <v>15</v>
      </c>
    </row>
    <row r="133" spans="1:1" x14ac:dyDescent="0.15">
      <c r="A133" s="9" t="s">
        <v>16</v>
      </c>
    </row>
    <row r="134" spans="1:1" x14ac:dyDescent="0.15">
      <c r="A134" s="9" t="s">
        <v>18</v>
      </c>
    </row>
    <row r="135" spans="1:1" x14ac:dyDescent="0.15">
      <c r="A135" s="11" t="s">
        <v>4</v>
      </c>
    </row>
    <row r="136" spans="1:1" x14ac:dyDescent="0.15">
      <c r="A136" s="9" t="s">
        <v>10</v>
      </c>
    </row>
    <row r="137" spans="1:1" x14ac:dyDescent="0.15">
      <c r="A137" s="9" t="s">
        <v>6</v>
      </c>
    </row>
    <row r="138" spans="1:1" x14ac:dyDescent="0.15">
      <c r="A138" s="9" t="s">
        <v>5</v>
      </c>
    </row>
    <row r="139" spans="1:1" x14ac:dyDescent="0.15">
      <c r="A139" s="9" t="s">
        <v>13</v>
      </c>
    </row>
    <row r="140" spans="1:1" x14ac:dyDescent="0.15">
      <c r="A140" s="9" t="s">
        <v>9</v>
      </c>
    </row>
    <row r="141" spans="1:1" x14ac:dyDescent="0.15">
      <c r="A141" s="11" t="s">
        <v>170</v>
      </c>
    </row>
    <row r="142" spans="1:1" x14ac:dyDescent="0.15">
      <c r="A142" s="9" t="s">
        <v>166</v>
      </c>
    </row>
    <row r="143" spans="1:1" x14ac:dyDescent="0.15">
      <c r="A143" s="9" t="s">
        <v>167</v>
      </c>
    </row>
    <row r="144" spans="1:1" x14ac:dyDescent="0.15">
      <c r="A144" s="9" t="s">
        <v>168</v>
      </c>
    </row>
    <row r="145" spans="1:1" x14ac:dyDescent="0.15">
      <c r="A145" s="11" t="s">
        <v>169</v>
      </c>
    </row>
    <row r="146" spans="1:1" x14ac:dyDescent="0.15">
      <c r="A146" s="9" t="s">
        <v>122</v>
      </c>
    </row>
    <row r="147" spans="1:1" x14ac:dyDescent="0.15">
      <c r="A147" s="9" t="s">
        <v>140</v>
      </c>
    </row>
    <row r="148" spans="1:1" x14ac:dyDescent="0.15">
      <c r="A148" s="9" t="s">
        <v>123</v>
      </c>
    </row>
    <row r="149" spans="1:1" x14ac:dyDescent="0.15">
      <c r="A149" s="9" t="s">
        <v>124</v>
      </c>
    </row>
    <row r="150" spans="1:1" x14ac:dyDescent="0.15">
      <c r="A150" s="9" t="s">
        <v>125</v>
      </c>
    </row>
  </sheetData>
  <phoneticPr fontId="0" type="noConversion"/>
  <hyperlinks>
    <hyperlink ref="E1" r:id="rId1" xr:uid="{00000000-0004-0000-0100-000000000000}"/>
    <hyperlink ref="F4" r:id="rId2" xr:uid="{00000000-0004-0000-0100-000001000000}"/>
  </hyperlinks>
  <pageMargins left="0.75" right="0.75" top="1" bottom="1" header="0.5" footer="0.5"/>
  <pageSetup paperSize="9"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52"/>
  <sheetViews>
    <sheetView showGridLines="0" topLeftCell="O1" zoomScale="116" zoomScaleNormal="100" workbookViewId="0">
      <selection activeCell="K11" sqref="K11"/>
    </sheetView>
  </sheetViews>
  <sheetFormatPr baseColWidth="10" defaultColWidth="8.83203125" defaultRowHeight="13" x14ac:dyDescent="0.15"/>
  <cols>
    <col min="1" max="1" width="29.83203125" customWidth="1"/>
    <col min="2" max="2" width="13" bestFit="1" customWidth="1"/>
    <col min="4" max="4" width="16.33203125" customWidth="1"/>
    <col min="5" max="5" width="13.5" bestFit="1" customWidth="1"/>
    <col min="7" max="7" width="10.6640625" customWidth="1"/>
    <col min="8" max="8" width="12.5" bestFit="1" customWidth="1"/>
    <col min="10" max="10" width="11.1640625" customWidth="1"/>
    <col min="11" max="11" width="13" bestFit="1" customWidth="1"/>
    <col min="12" max="12" width="7.6640625" customWidth="1"/>
    <col min="13" max="13" width="6.6640625" style="67" customWidth="1"/>
    <col min="14" max="14" width="14.6640625" customWidth="1"/>
    <col min="15" max="15" width="14.6640625" style="67" customWidth="1"/>
    <col min="16" max="17" width="16.83203125" style="67" customWidth="1"/>
    <col min="18" max="18" width="16.5" style="67" customWidth="1"/>
    <col min="19" max="19" width="3.1640625" customWidth="1"/>
    <col min="20" max="22" width="9" style="67" bestFit="1" customWidth="1"/>
    <col min="23" max="24" width="13.6640625" style="67" customWidth="1"/>
    <col min="25" max="25" width="13.6640625" style="92" customWidth="1"/>
    <col min="26" max="26" width="3" style="67" customWidth="1"/>
    <col min="27" max="28" width="9" style="67" bestFit="1" customWidth="1"/>
    <col min="29" max="29" width="3" style="67" customWidth="1"/>
    <col min="30" max="30" width="11.5" style="67" customWidth="1"/>
    <col min="31" max="31" width="9" style="67" bestFit="1" customWidth="1"/>
    <col min="32" max="32" width="4" style="67" customWidth="1"/>
    <col min="33" max="36" width="9" style="67" bestFit="1" customWidth="1"/>
    <col min="37" max="37" width="12.83203125" bestFit="1" customWidth="1"/>
  </cols>
  <sheetData>
    <row r="1" spans="1:38" ht="16" thickBot="1" x14ac:dyDescent="0.25">
      <c r="A1" s="95" t="s">
        <v>248</v>
      </c>
      <c r="B1" s="95"/>
      <c r="D1" s="93" t="s">
        <v>269</v>
      </c>
      <c r="E1" s="93"/>
      <c r="G1" s="96" t="s">
        <v>270</v>
      </c>
      <c r="H1" s="93"/>
      <c r="J1" s="93" t="s">
        <v>300</v>
      </c>
      <c r="K1" s="93"/>
      <c r="M1" s="81" t="s">
        <v>322</v>
      </c>
      <c r="N1" s="82" t="s">
        <v>323</v>
      </c>
      <c r="O1" s="83" t="s">
        <v>324</v>
      </c>
      <c r="P1" s="84" t="s">
        <v>325</v>
      </c>
      <c r="Q1" s="83" t="s">
        <v>326</v>
      </c>
      <c r="R1" s="85" t="s">
        <v>327</v>
      </c>
      <c r="T1" s="86" t="s">
        <v>247</v>
      </c>
      <c r="U1" s="87" t="s">
        <v>325</v>
      </c>
      <c r="V1" s="87" t="s">
        <v>326</v>
      </c>
      <c r="W1" s="69" t="s">
        <v>324</v>
      </c>
      <c r="X1" s="70" t="s">
        <v>334</v>
      </c>
      <c r="Y1" s="70" t="s">
        <v>328</v>
      </c>
      <c r="AA1" s="69" t="s">
        <v>329</v>
      </c>
      <c r="AB1" s="69" t="s">
        <v>330</v>
      </c>
      <c r="AD1" s="68" t="s">
        <v>331</v>
      </c>
      <c r="AE1" s="68" t="s">
        <v>330</v>
      </c>
      <c r="AF1" s="68"/>
      <c r="AG1" s="68" t="s">
        <v>332</v>
      </c>
      <c r="AH1" s="68" t="s">
        <v>325</v>
      </c>
      <c r="AI1" s="68" t="s">
        <v>326</v>
      </c>
      <c r="AJ1" s="68" t="s">
        <v>330</v>
      </c>
      <c r="AK1" s="1" t="s">
        <v>333</v>
      </c>
      <c r="AL1" s="1"/>
    </row>
    <row r="2" spans="1:38" ht="17" thickBot="1" x14ac:dyDescent="0.25">
      <c r="A2" s="46" t="s">
        <v>253</v>
      </c>
      <c r="B2" s="42">
        <v>155</v>
      </c>
      <c r="D2" s="60" t="s">
        <v>314</v>
      </c>
      <c r="E2" s="61">
        <f>((Core_Volume *1000000*HDR^2*4)/PI())^(1/3)</f>
        <v>1267.681153509817</v>
      </c>
      <c r="G2" s="64" t="s">
        <v>272</v>
      </c>
      <c r="H2" s="61">
        <f>neutrons_per_fission*E5*B15*1E-24</f>
        <v>1.5658481276595746</v>
      </c>
      <c r="J2" s="64" t="s">
        <v>301</v>
      </c>
      <c r="K2" s="71">
        <f>E6*1E-24*(2*B19+B21)</f>
        <v>2.9096313091054791</v>
      </c>
      <c r="M2" s="79">
        <v>200</v>
      </c>
      <c r="N2" s="73">
        <f>K18</f>
        <v>0.13325460296406222</v>
      </c>
      <c r="O2" s="73">
        <f>K17</f>
        <v>0.36508434132993939</v>
      </c>
      <c r="P2" s="73">
        <f>H24</f>
        <v>4.9911943370853753E-3</v>
      </c>
      <c r="Q2" s="73">
        <f>H11</f>
        <v>0.98919030101317462</v>
      </c>
      <c r="R2" s="80">
        <f>H12</f>
        <v>0.76550939420808284</v>
      </c>
      <c r="T2" s="79"/>
      <c r="U2" s="77">
        <f>H24</f>
        <v>4.9911943370853753E-3</v>
      </c>
      <c r="V2" s="78">
        <f>H11</f>
        <v>0.98919030101317462</v>
      </c>
      <c r="W2" s="103">
        <f>K17</f>
        <v>0.36508434132993939</v>
      </c>
      <c r="X2" s="103">
        <f>K18</f>
        <v>0.13325460296406222</v>
      </c>
      <c r="Y2" s="104">
        <v>0.5</v>
      </c>
      <c r="AA2" s="100">
        <v>1000</v>
      </c>
      <c r="AB2" s="99">
        <f>K17</f>
        <v>0.36508434132993939</v>
      </c>
      <c r="AD2" s="99"/>
      <c r="AE2" s="99">
        <f>K17</f>
        <v>0.36508434132993939</v>
      </c>
      <c r="AG2" s="99"/>
      <c r="AH2" s="99">
        <f>H24</f>
        <v>4.9911943370853753E-3</v>
      </c>
      <c r="AI2" s="101">
        <f>H11</f>
        <v>0.98919030101317462</v>
      </c>
      <c r="AJ2" s="99">
        <f>K17</f>
        <v>0.36508434132993939</v>
      </c>
      <c r="AK2" s="102">
        <f>K18</f>
        <v>0.13325460296406222</v>
      </c>
    </row>
    <row r="3" spans="1:38" ht="16" x14ac:dyDescent="0.2">
      <c r="A3" s="43" t="s">
        <v>246</v>
      </c>
      <c r="B3" s="44">
        <v>10</v>
      </c>
      <c r="D3" s="60" t="s">
        <v>315</v>
      </c>
      <c r="E3" s="61">
        <f>Core_Height/HDR</f>
        <v>31.692028837745426</v>
      </c>
      <c r="G3" s="51"/>
      <c r="H3" s="7"/>
      <c r="J3" s="64" t="s">
        <v>302</v>
      </c>
      <c r="K3" s="71">
        <f>K2+H7</f>
        <v>2.9269049656799027</v>
      </c>
      <c r="M3" s="75">
        <f>20</f>
        <v>20</v>
      </c>
      <c r="N3" s="76">
        <f t="dataTable" ref="N3:R31" dt2D="0" dtr="0" r1="B6" ca="1"/>
        <v>0.16777499997482473</v>
      </c>
      <c r="O3" s="75">
        <v>0.36437281918222458</v>
      </c>
      <c r="P3" s="75">
        <v>3.5330358743499535E-3</v>
      </c>
      <c r="Q3" s="75">
        <v>0.99176259509869757</v>
      </c>
      <c r="R3" s="75">
        <v>0.76352392379725564</v>
      </c>
      <c r="T3" s="75">
        <f>1</f>
        <v>1</v>
      </c>
      <c r="U3" s="75">
        <f t="dataTable" ref="U3:W22" dt2D="0" dtr="0" r1="B5"/>
        <v>6.353147146614896E-4</v>
      </c>
      <c r="V3" s="89">
        <v>0.98919030101317462</v>
      </c>
      <c r="W3" s="88">
        <v>0.36786614343799851</v>
      </c>
      <c r="X3" s="88">
        <f>W3-($K$10*(Y3-1/2/PI()*SIN(2*PI()*Y3)))</f>
        <v>-9.8937019632483469E-8</v>
      </c>
      <c r="Y3" s="91">
        <v>0.65936161956403971</v>
      </c>
      <c r="AA3" s="88">
        <v>100</v>
      </c>
      <c r="AB3" s="88">
        <f t="dataTable" ref="AB3:AB52" dt2D="0" dtr="0" r1="B9" ca="1"/>
        <v>0.48307853165806308</v>
      </c>
      <c r="AD3" s="67">
        <v>0.5</v>
      </c>
      <c r="AE3" s="67">
        <f t="dataTable" ref="AE3:AE22" dt2D="0" dtr="0" r1="B7" ca="1"/>
        <v>0.36508434132993939</v>
      </c>
      <c r="AG3" s="72">
        <v>1</v>
      </c>
      <c r="AH3" s="67">
        <f t="dataTable" ref="AH3:AK22" dt2D="0" dtr="0" r1="B4" ca="1"/>
        <v>4.9911943370853753E-3</v>
      </c>
      <c r="AI3" s="67">
        <v>0.98919030101317462</v>
      </c>
      <c r="AJ3" s="67">
        <v>0.36508434132993939</v>
      </c>
      <c r="AK3">
        <v>0.13325460296406222</v>
      </c>
    </row>
    <row r="4" spans="1:38" ht="15" x14ac:dyDescent="0.15">
      <c r="A4" s="47" t="s">
        <v>268</v>
      </c>
      <c r="B4" s="44">
        <v>1</v>
      </c>
      <c r="D4" s="60" t="s">
        <v>316</v>
      </c>
      <c r="E4" s="61">
        <f>Core_Diameter/2</f>
        <v>15.846014418872713</v>
      </c>
      <c r="G4" s="7"/>
      <c r="H4" s="7"/>
      <c r="J4" s="60" t="s">
        <v>295</v>
      </c>
      <c r="K4" s="71">
        <f>2.13*H19* (B8*K3+0.9354)/(B8*K3+0.5098)</f>
        <v>0.52319050528221678</v>
      </c>
      <c r="M4" s="74">
        <f>M3 +10</f>
        <v>30</v>
      </c>
      <c r="N4" s="61">
        <v>0.1667007444687946</v>
      </c>
      <c r="O4" s="74">
        <v>0.36436709806084661</v>
      </c>
      <c r="P4" s="74">
        <v>3.5962082606614972E-3</v>
      </c>
      <c r="Q4" s="74">
        <v>0.99170838111958381</v>
      </c>
      <c r="R4" s="74">
        <v>0.76356566355749722</v>
      </c>
      <c r="T4" s="74">
        <f>T3+1</f>
        <v>2</v>
      </c>
      <c r="U4" s="74">
        <v>7.7954141631868929E-4</v>
      </c>
      <c r="V4" s="90">
        <v>0.98919030101317462</v>
      </c>
      <c r="W4" s="105">
        <v>0.36777403571751821</v>
      </c>
      <c r="X4" s="105">
        <f>W4-($K$10*(Y4-1/2/PI()*SIN(2*PI()*Y4)))</f>
        <v>-9.8041995078013144E-8</v>
      </c>
      <c r="Y4" s="106">
        <v>0.65923258466549306</v>
      </c>
      <c r="AA4" s="88">
        <f>AA3+100</f>
        <v>200</v>
      </c>
      <c r="AB4" s="88">
        <v>0.46996806606604929</v>
      </c>
      <c r="AD4" s="67">
        <f t="shared" ref="AD4:AD22" si="0">AD3+0.5</f>
        <v>1</v>
      </c>
      <c r="AE4" s="67">
        <v>0.43850921089857131</v>
      </c>
      <c r="AG4" s="67">
        <f>AG3+1</f>
        <v>2</v>
      </c>
      <c r="AH4" s="67">
        <v>3.1835527032116288E-3</v>
      </c>
      <c r="AI4" s="67">
        <v>0.88535053193123836</v>
      </c>
      <c r="AJ4" s="67">
        <v>0.43255410985322396</v>
      </c>
      <c r="AK4">
        <v>0.27477632987514555</v>
      </c>
    </row>
    <row r="5" spans="1:38" ht="16" x14ac:dyDescent="0.2">
      <c r="A5" s="47" t="s">
        <v>247</v>
      </c>
      <c r="B5" s="44">
        <v>40</v>
      </c>
      <c r="D5" s="60" t="s">
        <v>317</v>
      </c>
      <c r="E5" s="61">
        <f>Fuel_density*6.022E+23/235</f>
        <v>1.281276595744681E+21</v>
      </c>
      <c r="G5" s="94" t="s">
        <v>271</v>
      </c>
      <c r="H5" s="94"/>
      <c r="J5" s="64" t="s">
        <v>303</v>
      </c>
      <c r="K5" s="71">
        <f>B25*(H16/H18)^2</f>
        <v>35.640108449249844</v>
      </c>
      <c r="M5" s="74">
        <f t="shared" ref="M5:M31" si="1">M4 +10</f>
        <v>40</v>
      </c>
      <c r="N5" s="61">
        <v>0.16548036884615366</v>
      </c>
      <c r="O5" s="74">
        <v>0.3643700166190077</v>
      </c>
      <c r="P5" s="74">
        <v>3.6614602719153982E-3</v>
      </c>
      <c r="Q5" s="74">
        <v>0.99163855908949794</v>
      </c>
      <c r="R5" s="74">
        <v>0.76361942680040951</v>
      </c>
      <c r="T5" s="74">
        <f t="shared" ref="T5:T22" si="2">T4+1</f>
        <v>3</v>
      </c>
      <c r="U5" s="74">
        <v>9.6335587778682309E-4</v>
      </c>
      <c r="V5" s="90">
        <v>0.98919030101317462</v>
      </c>
      <c r="W5" s="105">
        <v>0.36765664600505421</v>
      </c>
      <c r="X5" s="105">
        <f t="shared" ref="X5:X22" si="3">W5-($K$10*(Y5-1/2/PI()*SIN(2*PI()*Y5)))</f>
        <v>-9.6909878788409287E-8</v>
      </c>
      <c r="Y5" s="106">
        <v>0.65906821474130939</v>
      </c>
      <c r="AA5" s="88">
        <f t="shared" ref="AA5:AA52" si="4">AA4+100</f>
        <v>300</v>
      </c>
      <c r="AB5" s="88">
        <v>0.45685760047403556</v>
      </c>
      <c r="AD5" s="67">
        <f t="shared" si="0"/>
        <v>1.5</v>
      </c>
      <c r="AE5" s="67">
        <v>0.46299429198617686</v>
      </c>
      <c r="AG5" s="67">
        <f t="shared" ref="AG5:AG21" si="5">AG4+1</f>
        <v>3</v>
      </c>
      <c r="AH5" s="67">
        <v>2.44429526475346E-3</v>
      </c>
      <c r="AI5" s="67">
        <v>0.85072142203986978</v>
      </c>
      <c r="AJ5" s="67">
        <v>0.45514146472185402</v>
      </c>
      <c r="AK5">
        <v>0.33098705133204098</v>
      </c>
    </row>
    <row r="6" spans="1:38" ht="16" x14ac:dyDescent="0.2">
      <c r="A6" s="47" t="s">
        <v>257</v>
      </c>
      <c r="B6" s="44">
        <v>200</v>
      </c>
      <c r="D6" s="60" t="s">
        <v>318</v>
      </c>
      <c r="E6" s="61">
        <f>rho_pT(Pressure,Tc_ave)*(6.022E+23*0.000001/18)*1000</f>
        <v>2.9269000192188706E+22</v>
      </c>
      <c r="G6" s="64" t="s">
        <v>273</v>
      </c>
      <c r="H6" s="61">
        <f xml:space="preserve">  (N_235*1E-24*B16)</f>
        <v>0.75723446808510642</v>
      </c>
      <c r="J6" s="66" t="s">
        <v>304</v>
      </c>
      <c r="K6" s="71">
        <f xml:space="preserve"> (B24)^2 * (H16/H18)^2 *((Tc_ave+273)/293)^0.97</f>
        <v>17.061558025997112</v>
      </c>
      <c r="M6" s="74">
        <f t="shared" si="1"/>
        <v>50</v>
      </c>
      <c r="N6" s="61">
        <v>0.16413363200132233</v>
      </c>
      <c r="O6" s="74">
        <v>0.36438033312427365</v>
      </c>
      <c r="P6" s="74">
        <v>3.7286215846225436E-3</v>
      </c>
      <c r="Q6" s="74">
        <v>0.99155524369633619</v>
      </c>
      <c r="R6" s="74">
        <v>0.76368358989487573</v>
      </c>
      <c r="T6" s="74">
        <f t="shared" si="2"/>
        <v>4</v>
      </c>
      <c r="U6" s="74">
        <v>1.1406979339133045E-3</v>
      </c>
      <c r="V6" s="90">
        <v>0.98919030101317462</v>
      </c>
      <c r="W6" s="105">
        <v>0.36754338977477624</v>
      </c>
      <c r="X6" s="105">
        <f t="shared" si="3"/>
        <v>-9.5826998502968053E-8</v>
      </c>
      <c r="Y6" s="106">
        <v>0.65890972035523065</v>
      </c>
      <c r="AA6" s="88">
        <f t="shared" si="4"/>
        <v>400</v>
      </c>
      <c r="AB6" s="88">
        <v>0.44374713488202183</v>
      </c>
      <c r="AD6" s="67">
        <f t="shared" si="0"/>
        <v>2</v>
      </c>
      <c r="AE6" s="67">
        <v>0.47523881632487269</v>
      </c>
      <c r="AG6" s="67">
        <f t="shared" si="5"/>
        <v>4</v>
      </c>
      <c r="AH6" s="67">
        <v>2.0254931350931057E-3</v>
      </c>
      <c r="AI6" s="67">
        <v>0.83340376077266676</v>
      </c>
      <c r="AJ6" s="67">
        <v>0.46646852964185581</v>
      </c>
      <c r="AK6">
        <v>0.36242213705787463</v>
      </c>
    </row>
    <row r="7" spans="1:38" ht="16" x14ac:dyDescent="0.2">
      <c r="A7" s="52" t="s">
        <v>251</v>
      </c>
      <c r="B7" s="53">
        <v>0.5</v>
      </c>
      <c r="D7" s="60" t="s">
        <v>319</v>
      </c>
      <c r="E7" s="61">
        <f>(Boron_Mass/Core_Volume/1000000) * (6.022E+23/10)</f>
        <v>6.022E+19</v>
      </c>
      <c r="G7" s="64" t="s">
        <v>274</v>
      </c>
      <c r="H7" s="65">
        <f xml:space="preserve"> N_H20 * 1E-24* (2*B18 + B20)</f>
        <v>1.7273656574423812E-2</v>
      </c>
      <c r="J7" s="64" t="s">
        <v>305</v>
      </c>
      <c r="K7" s="71">
        <f xml:space="preserve"> K6+K5</f>
        <v>52.701666475246952</v>
      </c>
      <c r="M7" s="74">
        <f t="shared" si="1"/>
        <v>60</v>
      </c>
      <c r="N7" s="61">
        <v>0.16267456521157234</v>
      </c>
      <c r="O7" s="74">
        <v>0.36439712853560302</v>
      </c>
      <c r="P7" s="74">
        <v>3.7976057298616367E-3</v>
      </c>
      <c r="Q7" s="74">
        <v>0.99145996048771357</v>
      </c>
      <c r="R7" s="74">
        <v>0.76375698289683003</v>
      </c>
      <c r="T7" s="74">
        <f t="shared" si="2"/>
        <v>5</v>
      </c>
      <c r="U7" s="74">
        <v>1.3082365654140109E-3</v>
      </c>
      <c r="V7" s="90">
        <v>0.98919030101317462</v>
      </c>
      <c r="W7" s="105">
        <v>0.36743639432065706</v>
      </c>
      <c r="X7" s="105">
        <f t="shared" si="3"/>
        <v>-9.4812139805888762E-8</v>
      </c>
      <c r="Y7" s="106">
        <v>0.65876006653451569</v>
      </c>
      <c r="AA7" s="88">
        <f t="shared" si="4"/>
        <v>500</v>
      </c>
      <c r="AB7" s="88">
        <v>0.4306366692900081</v>
      </c>
      <c r="AD7" s="67">
        <f t="shared" si="0"/>
        <v>2.5</v>
      </c>
      <c r="AE7" s="67">
        <v>0.48258617720524571</v>
      </c>
      <c r="AG7" s="67">
        <f t="shared" si="5"/>
        <v>5</v>
      </c>
      <c r="AH7" s="67">
        <v>1.750311028015009E-3</v>
      </c>
      <c r="AI7" s="67">
        <v>0.82301215204047085</v>
      </c>
      <c r="AJ7" s="67">
        <v>0.47328067869440621</v>
      </c>
      <c r="AK7">
        <v>0.38289256460902255</v>
      </c>
    </row>
    <row r="8" spans="1:38" ht="16" x14ac:dyDescent="0.2">
      <c r="A8" s="52" t="s">
        <v>255</v>
      </c>
      <c r="B8" s="53">
        <v>2</v>
      </c>
      <c r="D8" s="51"/>
      <c r="E8" s="7"/>
      <c r="G8" s="64" t="s">
        <v>275</v>
      </c>
      <c r="H8" s="61">
        <f xml:space="preserve"> N_B * 1E-24 * B17</f>
        <v>0.20528997999999998</v>
      </c>
      <c r="J8" s="66" t="s">
        <v>306</v>
      </c>
      <c r="K8" s="71">
        <f>(7.43*K7)/(1+H23*K7)/(Core_Radius^2)</f>
        <v>0.72786014904924901</v>
      </c>
      <c r="M8" s="74">
        <f t="shared" si="1"/>
        <v>70</v>
      </c>
      <c r="N8" s="61">
        <v>0.16111351036405952</v>
      </c>
      <c r="O8" s="74">
        <v>0.36441969354486287</v>
      </c>
      <c r="P8" s="74">
        <v>3.8683804106636921E-3</v>
      </c>
      <c r="Q8" s="74">
        <v>0.99135385242941143</v>
      </c>
      <c r="R8" s="74">
        <v>0.7638387304688713</v>
      </c>
      <c r="T8" s="74">
        <f t="shared" si="2"/>
        <v>6</v>
      </c>
      <c r="U8" s="74">
        <v>1.4668030098707102E-3</v>
      </c>
      <c r="V8" s="90">
        <v>0.98919030101317462</v>
      </c>
      <c r="W8" s="105">
        <v>0.36733512878816021</v>
      </c>
      <c r="X8" s="105">
        <f t="shared" si="3"/>
        <v>-9.3859031657927972E-8</v>
      </c>
      <c r="Y8" s="106">
        <v>0.65861849769532455</v>
      </c>
      <c r="AA8" s="88">
        <f t="shared" si="4"/>
        <v>600</v>
      </c>
      <c r="AB8" s="88">
        <v>0.41752620369799431</v>
      </c>
      <c r="AD8" s="67">
        <f t="shared" si="0"/>
        <v>3</v>
      </c>
      <c r="AE8" s="67">
        <v>0.48748468978107634</v>
      </c>
      <c r="AG8" s="67">
        <f t="shared" si="5"/>
        <v>6</v>
      </c>
      <c r="AH8" s="67">
        <v>1.5532393776107143E-3</v>
      </c>
      <c r="AI8" s="67">
        <v>0.81608398699234008</v>
      </c>
      <c r="AJ8" s="67">
        <v>0.47783107957471699</v>
      </c>
      <c r="AK8">
        <v>0.3974436982731207</v>
      </c>
    </row>
    <row r="9" spans="1:38" ht="17" thickBot="1" x14ac:dyDescent="0.25">
      <c r="A9" s="49" t="s">
        <v>320</v>
      </c>
      <c r="B9" s="50">
        <v>1000</v>
      </c>
      <c r="D9" s="51"/>
      <c r="E9" s="7"/>
      <c r="G9" s="64" t="s">
        <v>284</v>
      </c>
      <c r="H9" s="65">
        <f xml:space="preserve"> B22 * 1E-24 * E20</f>
        <v>2.4623478217295058E-3</v>
      </c>
      <c r="J9" s="64" t="s">
        <v>307</v>
      </c>
      <c r="K9" s="71">
        <f>0.116 + LN(Core_Radius/2.405/B8) + (K4/B8)</f>
        <v>1.5698161810037701</v>
      </c>
      <c r="M9" s="74">
        <f t="shared" si="1"/>
        <v>80</v>
      </c>
      <c r="N9" s="61">
        <v>0.15945824577675674</v>
      </c>
      <c r="O9" s="74">
        <v>0.36444746563626923</v>
      </c>
      <c r="P9" s="74">
        <v>3.9409520524468205E-3</v>
      </c>
      <c r="Q9" s="74">
        <v>0.99123779391029854</v>
      </c>
      <c r="R9" s="74">
        <v>0.76392816409664854</v>
      </c>
      <c r="T9" s="74">
        <f t="shared" si="2"/>
        <v>7</v>
      </c>
      <c r="U9" s="74">
        <v>1.6176434631097066E-3</v>
      </c>
      <c r="V9" s="90">
        <v>0.98919030101317462</v>
      </c>
      <c r="W9" s="105">
        <v>0.36723879731732689</v>
      </c>
      <c r="X9" s="105">
        <f t="shared" si="3"/>
        <v>-9.2959069886155987E-8</v>
      </c>
      <c r="Y9" s="106">
        <v>0.65848389022871612</v>
      </c>
      <c r="AA9" s="88">
        <f t="shared" si="4"/>
        <v>700</v>
      </c>
      <c r="AB9" s="88">
        <v>0.40441573810598058</v>
      </c>
      <c r="AD9" s="67">
        <f t="shared" si="0"/>
        <v>3.5</v>
      </c>
      <c r="AE9" s="67">
        <v>0.49098376141638267</v>
      </c>
      <c r="AG9" s="67">
        <f t="shared" si="5"/>
        <v>7</v>
      </c>
      <c r="AH9" s="67">
        <v>1.4038988485928006E-3</v>
      </c>
      <c r="AI9" s="67">
        <v>0.81113508772154186</v>
      </c>
      <c r="AJ9" s="67">
        <v>0.48108697630554254</v>
      </c>
      <c r="AK9">
        <v>0.40839740772148514</v>
      </c>
    </row>
    <row r="10" spans="1:38" ht="17" thickBot="1" x14ac:dyDescent="0.25">
      <c r="A10" s="58" t="s">
        <v>310</v>
      </c>
      <c r="B10" s="59">
        <v>0.5</v>
      </c>
      <c r="D10" s="96" t="s">
        <v>276</v>
      </c>
      <c r="E10" s="93"/>
      <c r="G10" s="64" t="s">
        <v>285</v>
      </c>
      <c r="H10" s="65">
        <f xml:space="preserve"> E21 * 1E-24 * B23</f>
        <v>6.9298485319148964E-3</v>
      </c>
      <c r="J10" s="62" t="s">
        <v>308</v>
      </c>
      <c r="K10" s="71">
        <f>K8/K9</f>
        <v>0.46365947673175434</v>
      </c>
      <c r="M10" s="74">
        <f t="shared" si="1"/>
        <v>90</v>
      </c>
      <c r="N10" s="61">
        <v>0.15771465076950036</v>
      </c>
      <c r="O10" s="74">
        <v>0.36447999138177911</v>
      </c>
      <c r="P10" s="74">
        <v>4.0153575430987411E-3</v>
      </c>
      <c r="Q10" s="74">
        <v>0.99111245804193904</v>
      </c>
      <c r="R10" s="74">
        <v>0.76402477028803928</v>
      </c>
      <c r="T10" s="74">
        <f t="shared" si="2"/>
        <v>8</v>
      </c>
      <c r="U10" s="74">
        <v>1.7618627621316899E-3</v>
      </c>
      <c r="V10" s="90">
        <v>0.98919030101317462</v>
      </c>
      <c r="W10" s="105">
        <v>0.36714669432440283</v>
      </c>
      <c r="X10" s="105">
        <f t="shared" si="3"/>
        <v>-9.2104606608245376E-8</v>
      </c>
      <c r="Y10" s="106">
        <v>0.6583552492196485</v>
      </c>
      <c r="AA10" s="88">
        <f t="shared" si="4"/>
        <v>800</v>
      </c>
      <c r="AB10" s="88">
        <v>0.39130527251396685</v>
      </c>
      <c r="AD10" s="67">
        <f t="shared" si="0"/>
        <v>4</v>
      </c>
      <c r="AE10" s="67">
        <v>0.49360813880099658</v>
      </c>
      <c r="AG10" s="67">
        <f t="shared" si="5"/>
        <v>8</v>
      </c>
      <c r="AH10" s="67">
        <v>1.2861054388455153E-3</v>
      </c>
      <c r="AI10" s="67">
        <v>0.80742329793099188</v>
      </c>
      <c r="AJ10" s="67">
        <v>0.48353266891943686</v>
      </c>
      <c r="AK10">
        <v>0.41698430490166327</v>
      </c>
    </row>
    <row r="11" spans="1:38" ht="16" x14ac:dyDescent="0.2">
      <c r="D11" s="62" t="s">
        <v>277</v>
      </c>
      <c r="E11" s="63">
        <f>3.64*B3/(B26*Core_Volume*(H2/neutrons_per_fission))</f>
        <v>1755600963359.6797</v>
      </c>
      <c r="G11" s="64" t="s">
        <v>288</v>
      </c>
      <c r="H11" s="65">
        <f xml:space="preserve"> SUM(H6:H10)</f>
        <v>0.98919030101317462</v>
      </c>
      <c r="J11" s="62" t="s">
        <v>309</v>
      </c>
      <c r="K11" s="71">
        <f>B10*Core_Height</f>
        <v>633.84057675490851</v>
      </c>
      <c r="M11" s="74">
        <f t="shared" si="1"/>
        <v>100</v>
      </c>
      <c r="N11" s="61">
        <v>0.15588712186302653</v>
      </c>
      <c r="O11" s="74">
        <v>0.36451690227881928</v>
      </c>
      <c r="P11" s="74">
        <v>4.0916598661040558E-3</v>
      </c>
      <c r="Q11" s="74">
        <v>0.99097835885991337</v>
      </c>
      <c r="R11" s="74">
        <v>0.76412815811263401</v>
      </c>
      <c r="T11" s="74">
        <f t="shared" si="2"/>
        <v>9</v>
      </c>
      <c r="U11" s="74">
        <v>1.9003640242878949E-3</v>
      </c>
      <c r="V11" s="90">
        <v>0.98919030101317462</v>
      </c>
      <c r="W11" s="88">
        <v>0.36705824305016382</v>
      </c>
      <c r="X11" s="88">
        <f t="shared" si="3"/>
        <v>-9.1289739156952265E-8</v>
      </c>
      <c r="Y11" s="91">
        <v>0.65823176173279618</v>
      </c>
      <c r="AA11" s="88">
        <f t="shared" si="4"/>
        <v>900</v>
      </c>
      <c r="AB11" s="88">
        <v>0.37819480692195312</v>
      </c>
      <c r="AD11" s="67">
        <f t="shared" si="0"/>
        <v>4.5</v>
      </c>
      <c r="AE11" s="67">
        <v>0.4956493650072592</v>
      </c>
      <c r="AG11" s="67">
        <f t="shared" si="5"/>
        <v>9</v>
      </c>
      <c r="AH11" s="67">
        <v>1.1903768607447714E-3</v>
      </c>
      <c r="AI11" s="67">
        <v>0.80453628173822367</v>
      </c>
      <c r="AJ11" s="67">
        <v>0.48543754380364879</v>
      </c>
      <c r="AK11">
        <v>0.42392258675635902</v>
      </c>
    </row>
    <row r="12" spans="1:38" ht="18" thickBot="1" x14ac:dyDescent="0.3">
      <c r="A12" s="93" t="s">
        <v>249</v>
      </c>
      <c r="B12" s="93"/>
      <c r="D12" s="62" t="s">
        <v>278</v>
      </c>
      <c r="E12" s="63">
        <f>B3/(B26*Core_Volume*(H2/neutrons_per_fission))</f>
        <v>482307956966.94495</v>
      </c>
      <c r="G12" s="64" t="s">
        <v>321</v>
      </c>
      <c r="H12" s="65">
        <f>H6/H11</f>
        <v>0.76550939420808284</v>
      </c>
      <c r="J12" s="62" t="s">
        <v>311</v>
      </c>
      <c r="K12" s="71">
        <f>K10 * (B10 - 1/2/PI()*SIN(2*PI()*B10))</f>
        <v>0.23182973836587717</v>
      </c>
      <c r="M12" s="74">
        <f t="shared" si="1"/>
        <v>110</v>
      </c>
      <c r="N12" s="61">
        <v>0.15397884576394499</v>
      </c>
      <c r="O12" s="74">
        <v>0.36455789835920138</v>
      </c>
      <c r="P12" s="74">
        <v>4.1699460352720022E-3</v>
      </c>
      <c r="Q12" s="74">
        <v>0.99083587905503756</v>
      </c>
      <c r="R12" s="74">
        <v>0.76423803789511802</v>
      </c>
      <c r="T12" s="74">
        <f t="shared" si="2"/>
        <v>10</v>
      </c>
      <c r="U12" s="74">
        <v>2.0338758704277235E-3</v>
      </c>
      <c r="V12" s="90">
        <v>0.98919030101317462</v>
      </c>
      <c r="W12" s="88">
        <v>0.36697297817435537</v>
      </c>
      <c r="X12" s="88">
        <f t="shared" si="3"/>
        <v>-9.0509226002843945E-8</v>
      </c>
      <c r="Y12" s="91">
        <v>0.65811277199554874</v>
      </c>
      <c r="AA12" s="88">
        <f t="shared" si="4"/>
        <v>1000</v>
      </c>
      <c r="AB12" s="88">
        <v>0.36508434132993939</v>
      </c>
      <c r="AD12" s="67">
        <f t="shared" si="0"/>
        <v>5</v>
      </c>
      <c r="AE12" s="67">
        <v>0.49728237363535865</v>
      </c>
      <c r="AG12" s="67">
        <f t="shared" si="5"/>
        <v>10</v>
      </c>
      <c r="AH12" s="67">
        <v>1.1107566271919473E-3</v>
      </c>
      <c r="AI12" s="67">
        <v>0.80222662546781198</v>
      </c>
      <c r="AJ12" s="67">
        <v>0.48696341113507108</v>
      </c>
      <c r="AK12">
        <v>0.42966191452709157</v>
      </c>
    </row>
    <row r="13" spans="1:38" x14ac:dyDescent="0.15">
      <c r="A13" s="46" t="s">
        <v>250</v>
      </c>
      <c r="B13" s="42">
        <v>0.03</v>
      </c>
      <c r="M13" s="74">
        <f t="shared" si="1"/>
        <v>120</v>
      </c>
      <c r="N13" s="61">
        <v>0.15199198364152924</v>
      </c>
      <c r="O13" s="74">
        <v>0.36460273657554615</v>
      </c>
      <c r="P13" s="74">
        <v>4.2503265487856172E-3</v>
      </c>
      <c r="Q13" s="74">
        <v>0.99068528870441297</v>
      </c>
      <c r="R13" s="74">
        <v>0.76435420684947675</v>
      </c>
      <c r="T13" s="74">
        <f t="shared" si="2"/>
        <v>11</v>
      </c>
      <c r="U13" s="74">
        <v>2.162989126204295E-3</v>
      </c>
      <c r="V13" s="90">
        <v>0.98919030101317462</v>
      </c>
      <c r="W13" s="88">
        <v>0.36689052237708109</v>
      </c>
      <c r="X13" s="88">
        <f t="shared" si="3"/>
        <v>-8.975922516363255E-8</v>
      </c>
      <c r="Y13" s="91">
        <v>0.65799774826727597</v>
      </c>
      <c r="AA13" s="88">
        <f t="shared" si="4"/>
        <v>1100</v>
      </c>
      <c r="AB13" s="88">
        <v>0.35197387573792566</v>
      </c>
      <c r="AD13" s="67">
        <f t="shared" si="0"/>
        <v>5.5</v>
      </c>
      <c r="AE13" s="67">
        <v>0.49861848993122665</v>
      </c>
      <c r="AG13" s="67">
        <f t="shared" si="5"/>
        <v>11</v>
      </c>
      <c r="AH13" s="67">
        <v>1.0432980770306924E-3</v>
      </c>
      <c r="AI13" s="67">
        <v>0.8003368780031509</v>
      </c>
      <c r="AJ13" s="67">
        <v>0.4882133446249477</v>
      </c>
      <c r="AK13">
        <v>0.43449934561494852</v>
      </c>
    </row>
    <row r="14" spans="1:38" x14ac:dyDescent="0.15">
      <c r="A14" s="56" t="s">
        <v>267</v>
      </c>
      <c r="B14" s="55">
        <v>2.42</v>
      </c>
      <c r="J14" s="57"/>
      <c r="M14" s="74">
        <f t="shared" si="1"/>
        <v>130</v>
      </c>
      <c r="N14" s="61">
        <v>0.14992779629525788</v>
      </c>
      <c r="O14" s="74">
        <v>0.3646512223285841</v>
      </c>
      <c r="P14" s="74">
        <v>4.332935985905481E-3</v>
      </c>
      <c r="Q14" s="74">
        <v>0.99052675794168044</v>
      </c>
      <c r="R14" s="74">
        <v>0.76447653939066063</v>
      </c>
      <c r="T14" s="74">
        <f t="shared" si="2"/>
        <v>12</v>
      </c>
      <c r="U14" s="74">
        <v>2.2881879118100768E-3</v>
      </c>
      <c r="V14" s="90">
        <v>0.98919030101317462</v>
      </c>
      <c r="W14" s="88">
        <v>0.36681056648391736</v>
      </c>
      <c r="X14" s="88">
        <f t="shared" si="3"/>
        <v>-8.9036616746085429E-8</v>
      </c>
      <c r="Y14" s="91">
        <v>0.6578862548270743</v>
      </c>
      <c r="AA14" s="88">
        <f t="shared" si="4"/>
        <v>1200</v>
      </c>
      <c r="AB14" s="88">
        <v>0.33886341014591181</v>
      </c>
      <c r="AD14" s="67">
        <f t="shared" si="0"/>
        <v>6</v>
      </c>
      <c r="AE14" s="67">
        <v>0.49973193279910222</v>
      </c>
      <c r="AG14" s="67">
        <f t="shared" si="5"/>
        <v>12</v>
      </c>
      <c r="AH14" s="67">
        <v>9.8527347655418202E-4</v>
      </c>
      <c r="AI14" s="67">
        <v>0.79876206868619803</v>
      </c>
      <c r="AJ14" s="67">
        <v>0.48925612386297629</v>
      </c>
      <c r="AK14">
        <v>0.43863962690370373</v>
      </c>
    </row>
    <row r="15" spans="1:38" ht="18" x14ac:dyDescent="0.25">
      <c r="A15" s="43" t="s">
        <v>258</v>
      </c>
      <c r="B15" s="44">
        <v>505</v>
      </c>
      <c r="D15" s="93" t="s">
        <v>279</v>
      </c>
      <c r="E15" s="93"/>
      <c r="G15" s="94" t="s">
        <v>289</v>
      </c>
      <c r="H15" s="94"/>
      <c r="J15" s="93" t="s">
        <v>299</v>
      </c>
      <c r="K15" s="93"/>
      <c r="M15" s="74">
        <f t="shared" si="1"/>
        <v>140</v>
      </c>
      <c r="N15" s="61">
        <v>0.14778672690983335</v>
      </c>
      <c r="O15" s="74">
        <v>0.3647032031936201</v>
      </c>
      <c r="P15" s="74">
        <v>4.4179345901357936E-3</v>
      </c>
      <c r="Q15" s="74">
        <v>0.99036036519725934</v>
      </c>
      <c r="R15" s="74">
        <v>0.7646049808690405</v>
      </c>
      <c r="T15" s="74">
        <f t="shared" si="2"/>
        <v>13</v>
      </c>
      <c r="U15" s="74">
        <v>2.4098735750111783E-3</v>
      </c>
      <c r="V15" s="90">
        <v>0.98919030101317462</v>
      </c>
      <c r="W15" s="88">
        <v>0.36673285418152246</v>
      </c>
      <c r="X15" s="88">
        <f t="shared" si="3"/>
        <v>-8.8338317660863197E-8</v>
      </c>
      <c r="Y15" s="91">
        <v>0.65777793042654331</v>
      </c>
      <c r="AA15" s="88">
        <f t="shared" si="4"/>
        <v>1300</v>
      </c>
      <c r="AB15" s="88">
        <v>0.32575294455389797</v>
      </c>
      <c r="AD15" s="67">
        <f t="shared" si="0"/>
        <v>6.5</v>
      </c>
      <c r="AE15" s="67">
        <v>0.50067408573865158</v>
      </c>
      <c r="AG15" s="67">
        <f t="shared" si="5"/>
        <v>13</v>
      </c>
      <c r="AH15" s="67">
        <v>9.3473181863054752E-4</v>
      </c>
      <c r="AI15" s="67">
        <v>0.79742952367311426</v>
      </c>
      <c r="AJ15" s="67">
        <v>0.49013940663259886</v>
      </c>
      <c r="AK15">
        <v>0.44222881987986962</v>
      </c>
    </row>
    <row r="16" spans="1:38" ht="18" x14ac:dyDescent="0.25">
      <c r="A16" s="43" t="s">
        <v>259</v>
      </c>
      <c r="B16" s="44">
        <v>591</v>
      </c>
      <c r="D16" s="62" t="s">
        <v>280</v>
      </c>
      <c r="E16" s="61">
        <v>6.3899999999999998E-2</v>
      </c>
      <c r="G16" s="62" t="s">
        <v>291</v>
      </c>
      <c r="H16" s="61">
        <f>rho_pT(Pressure,20)/1000</f>
        <v>1.0051416467427277</v>
      </c>
      <c r="J16" s="66" t="s">
        <v>312</v>
      </c>
      <c r="K16" s="71">
        <f xml:space="preserve"> H2 /(H11 + H24)</f>
        <v>1.5750123443083306</v>
      </c>
      <c r="M16" s="74">
        <f t="shared" si="1"/>
        <v>150</v>
      </c>
      <c r="N16" s="61">
        <v>0.14556845097794074</v>
      </c>
      <c r="O16" s="74">
        <v>0.3647585642798738</v>
      </c>
      <c r="P16" s="74">
        <v>4.5055108187502411E-3</v>
      </c>
      <c r="Q16" s="74">
        <v>0.99018610191538936</v>
      </c>
      <c r="R16" s="74">
        <v>0.76473954403150324</v>
      </c>
      <c r="T16" s="74">
        <f t="shared" si="2"/>
        <v>14</v>
      </c>
      <c r="U16" s="74">
        <v>2.5283826737931532E-3</v>
      </c>
      <c r="V16" s="90">
        <v>0.98919030101317462</v>
      </c>
      <c r="W16" s="88">
        <v>0.36665717053335212</v>
      </c>
      <c r="X16" s="88">
        <f t="shared" si="3"/>
        <v>-8.7662311298863926E-8</v>
      </c>
      <c r="Y16" s="91">
        <v>0.65767247210835778</v>
      </c>
      <c r="AA16" s="88">
        <f t="shared" si="4"/>
        <v>1400</v>
      </c>
      <c r="AB16" s="88">
        <v>0.31264247896188441</v>
      </c>
      <c r="AD16" s="67">
        <f t="shared" si="0"/>
        <v>7</v>
      </c>
      <c r="AE16" s="67">
        <v>0.50148165195652639</v>
      </c>
      <c r="AG16" s="67">
        <f t="shared" si="5"/>
        <v>14</v>
      </c>
      <c r="AH16" s="67">
        <v>8.9023744999051208E-4</v>
      </c>
      <c r="AI16" s="67">
        <v>0.79628733196856161</v>
      </c>
      <c r="AJ16" s="67">
        <v>0.49089726178612919</v>
      </c>
      <c r="AK16">
        <v>0.44537413235550771</v>
      </c>
    </row>
    <row r="17" spans="1:37" ht="18" x14ac:dyDescent="0.25">
      <c r="A17" s="43" t="s">
        <v>260</v>
      </c>
      <c r="B17" s="44">
        <v>3409</v>
      </c>
      <c r="D17" s="62" t="s">
        <v>281</v>
      </c>
      <c r="E17" s="61">
        <v>2.3700000000000001E-3</v>
      </c>
      <c r="G17" s="66" t="s">
        <v>290</v>
      </c>
      <c r="H17" s="61">
        <v>0.16</v>
      </c>
      <c r="J17" s="64" t="s">
        <v>313</v>
      </c>
      <c r="K17" s="71">
        <f>(K16-1)/K16</f>
        <v>0.36508434132993939</v>
      </c>
      <c r="M17" s="74">
        <f t="shared" si="1"/>
        <v>160</v>
      </c>
      <c r="N17" s="61">
        <v>0.14327189872436452</v>
      </c>
      <c r="O17" s="74">
        <v>0.36481722487197166</v>
      </c>
      <c r="P17" s="74">
        <v>4.5958849396542161E-3</v>
      </c>
      <c r="Q17" s="74">
        <v>0.99000387421618152</v>
      </c>
      <c r="R17" s="74">
        <v>0.76488030785196037</v>
      </c>
      <c r="T17" s="74">
        <f t="shared" si="2"/>
        <v>15</v>
      </c>
      <c r="U17" s="74">
        <v>2.6440004696264975E-3</v>
      </c>
      <c r="V17" s="90">
        <v>0.98919030101317462</v>
      </c>
      <c r="W17" s="88">
        <v>0.36658333336243432</v>
      </c>
      <c r="X17" s="88">
        <f t="shared" si="3"/>
        <v>-8.700668668870648E-8</v>
      </c>
      <c r="Y17" s="91">
        <v>0.65756962306479816</v>
      </c>
      <c r="AA17" s="88">
        <f t="shared" si="4"/>
        <v>1500</v>
      </c>
      <c r="AB17" s="88">
        <v>0.29953201336987056</v>
      </c>
      <c r="AD17" s="67">
        <f t="shared" si="0"/>
        <v>7.5</v>
      </c>
      <c r="AE17" s="67">
        <v>0.502181547578336</v>
      </c>
      <c r="AG17" s="67">
        <f t="shared" si="5"/>
        <v>15</v>
      </c>
      <c r="AH17" s="67">
        <v>8.5070835957524191E-4</v>
      </c>
      <c r="AI17" s="67">
        <v>0.79529742481917276</v>
      </c>
      <c r="AJ17" s="67">
        <v>0.49155469223651571</v>
      </c>
      <c r="AK17">
        <v>0.4481561646254606</v>
      </c>
    </row>
    <row r="18" spans="1:37" ht="18" x14ac:dyDescent="0.25">
      <c r="A18" s="43" t="s">
        <v>261</v>
      </c>
      <c r="B18" s="44">
        <v>0.29499999999999998</v>
      </c>
      <c r="D18" s="62" t="s">
        <v>286</v>
      </c>
      <c r="E18" s="61">
        <v>1.0710000000000001E-2</v>
      </c>
      <c r="G18" s="62" t="s">
        <v>292</v>
      </c>
      <c r="H18" s="61">
        <f t="array" ref="H18">rho_pT(Pressure,Tc_ave)/1000</f>
        <v>0.87486217778046615</v>
      </c>
      <c r="J18" s="64" t="s">
        <v>311</v>
      </c>
      <c r="K18" s="71">
        <f xml:space="preserve"> K17 - K12</f>
        <v>0.13325460296406222</v>
      </c>
      <c r="M18" s="74">
        <f t="shared" si="1"/>
        <v>170</v>
      </c>
      <c r="N18" s="61">
        <v>0.14089525255962165</v>
      </c>
      <c r="O18" s="74">
        <v>0.36487913613545131</v>
      </c>
      <c r="P18" s="74">
        <v>4.6893138497247884E-3</v>
      </c>
      <c r="Q18" s="74">
        <v>0.9898135016701104</v>
      </c>
      <c r="R18" s="74">
        <v>0.76502741860706702</v>
      </c>
      <c r="T18" s="74">
        <f t="shared" si="2"/>
        <v>16</v>
      </c>
      <c r="U18" s="74">
        <v>2.7569711256530726E-3</v>
      </c>
      <c r="V18" s="90">
        <v>0.98919030101317462</v>
      </c>
      <c r="W18" s="88">
        <v>0.36651118673848593</v>
      </c>
      <c r="X18" s="88">
        <f t="shared" si="3"/>
        <v>-8.6369481733239439E-8</v>
      </c>
      <c r="Y18" s="91">
        <v>0.65746916346319106</v>
      </c>
      <c r="AA18" s="88">
        <f t="shared" si="4"/>
        <v>1600</v>
      </c>
      <c r="AB18" s="88">
        <v>0.28642154777785694</v>
      </c>
      <c r="AD18" s="67">
        <f t="shared" si="0"/>
        <v>8</v>
      </c>
      <c r="AE18" s="67">
        <v>0.50279395998284271</v>
      </c>
      <c r="AG18" s="67">
        <f t="shared" si="5"/>
        <v>16</v>
      </c>
      <c r="AH18" s="67">
        <v>8.1531222611637899E-4</v>
      </c>
      <c r="AI18" s="67">
        <v>0.79443125021435179</v>
      </c>
      <c r="AJ18" s="67">
        <v>0.4921304637448467</v>
      </c>
      <c r="AK18">
        <v>0.45063676758299942</v>
      </c>
    </row>
    <row r="19" spans="1:37" ht="18" x14ac:dyDescent="0.25">
      <c r="A19" s="43" t="s">
        <v>262</v>
      </c>
      <c r="B19" s="44">
        <v>47.7</v>
      </c>
      <c r="D19" s="64" t="s">
        <v>282</v>
      </c>
      <c r="E19" s="65">
        <v>2.09E-5</v>
      </c>
      <c r="G19" s="66" t="s">
        <v>293</v>
      </c>
      <c r="H19" s="61">
        <f xml:space="preserve"> H17*(H16/H18) * ((Tc_ave+273)/293)^0.47</f>
        <v>0.23023140488655203</v>
      </c>
      <c r="M19" s="74">
        <f t="shared" si="1"/>
        <v>180</v>
      </c>
      <c r="N19" s="61">
        <v>0.13843591997957483</v>
      </c>
      <c r="O19" s="74">
        <v>0.36494427975640553</v>
      </c>
      <c r="P19" s="74">
        <v>4.7860973924324472E-3</v>
      </c>
      <c r="Q19" s="74">
        <v>0.98961471311050253</v>
      </c>
      <c r="R19" s="74">
        <v>0.76518109326104167</v>
      </c>
      <c r="T19" s="74">
        <f t="shared" si="2"/>
        <v>17</v>
      </c>
      <c r="U19" s="74">
        <v>2.8675054959822061E-3</v>
      </c>
      <c r="V19" s="90">
        <v>0.98919030101317462</v>
      </c>
      <c r="W19" s="88">
        <v>0.36644059600342249</v>
      </c>
      <c r="X19" s="88">
        <f t="shared" si="3"/>
        <v>-8.5749705835969081E-8</v>
      </c>
      <c r="Y19" s="91">
        <v>0.6573709034405254</v>
      </c>
      <c r="AA19" s="88">
        <f t="shared" si="4"/>
        <v>1700</v>
      </c>
      <c r="AB19" s="88">
        <v>0.27331108218584316</v>
      </c>
      <c r="AD19" s="67">
        <f t="shared" si="0"/>
        <v>8.5</v>
      </c>
      <c r="AE19" s="67">
        <v>0.50333432676666368</v>
      </c>
      <c r="AG19" s="67">
        <f t="shared" si="5"/>
        <v>17</v>
      </c>
      <c r="AH19" s="67">
        <v>7.8339738603731271E-4</v>
      </c>
      <c r="AI19" s="67">
        <v>0.79366697396718389</v>
      </c>
      <c r="AJ19" s="67">
        <v>0.49263893648443297</v>
      </c>
      <c r="AK19">
        <v>0.45286425232598365</v>
      </c>
    </row>
    <row r="20" spans="1:37" ht="18" x14ac:dyDescent="0.25">
      <c r="A20" s="43" t="s">
        <v>263</v>
      </c>
      <c r="B20" s="54">
        <v>1.6899999999999999E-4</v>
      </c>
      <c r="D20" s="64" t="s">
        <v>283</v>
      </c>
      <c r="E20" s="65">
        <f>((E16+E17)*(H2/neutrons_per_fission)*E12)/(E19+(B22*1E-24*E12))</f>
        <v>932707508230873.5</v>
      </c>
      <c r="G20" s="60" t="s">
        <v>295</v>
      </c>
      <c r="H20" s="61">
        <f>2.13*H19</f>
        <v>0.49039289240835582</v>
      </c>
      <c r="M20" s="74">
        <f t="shared" si="1"/>
        <v>190</v>
      </c>
      <c r="N20" s="61">
        <v>0.13589048046431765</v>
      </c>
      <c r="O20" s="74">
        <v>0.36501266745026939</v>
      </c>
      <c r="P20" s="74">
        <v>4.8865865838714408E-3</v>
      </c>
      <c r="Q20" s="74">
        <v>0.98940713917667189</v>
      </c>
      <c r="R20" s="74">
        <v>0.76534162540532469</v>
      </c>
      <c r="T20" s="74">
        <f t="shared" si="2"/>
        <v>18</v>
      </c>
      <c r="U20" s="74">
        <v>2.9757871443253652E-3</v>
      </c>
      <c r="V20" s="90">
        <v>0.98919030101317462</v>
      </c>
      <c r="W20" s="88">
        <v>0.36637144392766857</v>
      </c>
      <c r="X20" s="88">
        <f t="shared" si="3"/>
        <v>-8.5145664852070979E-8</v>
      </c>
      <c r="Y20" s="91">
        <v>0.65727467768727443</v>
      </c>
      <c r="AA20" s="88">
        <f t="shared" si="4"/>
        <v>1800</v>
      </c>
      <c r="AB20" s="88">
        <v>0.26020061659382943</v>
      </c>
      <c r="AD20" s="67">
        <f t="shared" si="0"/>
        <v>9</v>
      </c>
      <c r="AE20" s="67">
        <v>0.5038146550786986</v>
      </c>
      <c r="AG20" s="67">
        <f t="shared" si="5"/>
        <v>18</v>
      </c>
      <c r="AH20" s="67">
        <v>7.5444568920534174E-4</v>
      </c>
      <c r="AI20" s="67">
        <v>0.79298761372981341</v>
      </c>
      <c r="AJ20" s="67">
        <v>0.49309128682524228</v>
      </c>
      <c r="AK20">
        <v>0.45487694223845909</v>
      </c>
    </row>
    <row r="21" spans="1:37" ht="18" x14ac:dyDescent="0.25">
      <c r="A21" s="43" t="s">
        <v>264</v>
      </c>
      <c r="B21" s="44">
        <v>4.01</v>
      </c>
      <c r="D21" s="64" t="s">
        <v>287</v>
      </c>
      <c r="E21" s="65">
        <f>E18*(H2/neutrons_per_fission)/(B23*1E-24)</f>
        <v>1.1268046393357555E+17</v>
      </c>
      <c r="G21" s="60" t="s">
        <v>296</v>
      </c>
      <c r="H21" s="61">
        <f>Core_Height + (2*H20)</f>
        <v>1268.6619392946338</v>
      </c>
      <c r="J21" s="97"/>
      <c r="K21" s="98"/>
      <c r="M21" s="74">
        <f t="shared" si="1"/>
        <v>200</v>
      </c>
      <c r="N21" s="61">
        <v>0.13325460296406222</v>
      </c>
      <c r="O21" s="74">
        <v>0.36508434132993939</v>
      </c>
      <c r="P21" s="74">
        <v>4.9911943370853753E-3</v>
      </c>
      <c r="Q21" s="74">
        <v>0.98919030101317462</v>
      </c>
      <c r="R21" s="74">
        <v>0.76550939420808284</v>
      </c>
      <c r="T21" s="74">
        <f t="shared" si="2"/>
        <v>19</v>
      </c>
      <c r="U21" s="74">
        <v>3.081977048807868E-3</v>
      </c>
      <c r="V21" s="90">
        <v>0.98919030101317462</v>
      </c>
      <c r="W21" s="88">
        <v>0.36630362770551606</v>
      </c>
      <c r="X21" s="88">
        <f t="shared" si="3"/>
        <v>-8.4556599333485138E-8</v>
      </c>
      <c r="Y21" s="91">
        <v>0.65718034121767044</v>
      </c>
      <c r="AA21" s="88">
        <f t="shared" si="4"/>
        <v>1900</v>
      </c>
      <c r="AB21" s="88">
        <v>0.24709015100181575</v>
      </c>
      <c r="AD21" s="67">
        <f t="shared" si="0"/>
        <v>9.5</v>
      </c>
      <c r="AE21" s="67">
        <v>0.50424442433739369</v>
      </c>
      <c r="AG21" s="67">
        <f t="shared" si="5"/>
        <v>19</v>
      </c>
      <c r="AH21" s="67">
        <v>7.2803950819157529E-4</v>
      </c>
      <c r="AI21" s="67">
        <v>0.79237976224400997</v>
      </c>
      <c r="AJ21" s="67">
        <v>0.49349634377528329</v>
      </c>
      <c r="AK21">
        <v>0.4567056547962946</v>
      </c>
    </row>
    <row r="22" spans="1:37" ht="18" x14ac:dyDescent="0.25">
      <c r="A22" s="43" t="s">
        <v>265</v>
      </c>
      <c r="B22" s="54">
        <v>2640000</v>
      </c>
      <c r="D22" s="51"/>
      <c r="G22" s="60" t="s">
        <v>297</v>
      </c>
      <c r="H22" s="61">
        <f xml:space="preserve"> Core_Radius + H20</f>
        <v>16.336407311281068</v>
      </c>
      <c r="M22" s="74">
        <f t="shared" si="1"/>
        <v>210</v>
      </c>
      <c r="N22" s="61">
        <v>0.13052292806707769</v>
      </c>
      <c r="O22" s="74">
        <v>0.36515937518265595</v>
      </c>
      <c r="P22" s="74">
        <v>5.1004095387297936E-3</v>
      </c>
      <c r="Q22" s="74">
        <v>0.98896359419374291</v>
      </c>
      <c r="R22" s="74">
        <v>0.7656848771085909</v>
      </c>
      <c r="T22" s="74">
        <f t="shared" si="2"/>
        <v>20</v>
      </c>
      <c r="U22" s="74">
        <v>3.1862173212064255E-3</v>
      </c>
      <c r="V22" s="90">
        <v>0.98919030101317462</v>
      </c>
      <c r="W22" s="88">
        <v>0.36623705657990219</v>
      </c>
      <c r="X22" s="88">
        <f t="shared" si="3"/>
        <v>-8.3981204435090717E-8</v>
      </c>
      <c r="Y22" s="91">
        <v>0.65708776602214114</v>
      </c>
      <c r="AA22" s="88">
        <f t="shared" si="4"/>
        <v>2000</v>
      </c>
      <c r="AB22" s="88">
        <v>0.23397968540980196</v>
      </c>
      <c r="AD22" s="67">
        <f t="shared" si="0"/>
        <v>10</v>
      </c>
      <c r="AE22" s="67">
        <v>0.50463121814195877</v>
      </c>
      <c r="AG22" s="67">
        <f>AG21+1</f>
        <v>20</v>
      </c>
      <c r="AH22" s="67">
        <v>7.038381521758452E-4</v>
      </c>
      <c r="AI22" s="67">
        <v>0.79183269360226616</v>
      </c>
      <c r="AJ22" s="67">
        <v>0.49386117481328012</v>
      </c>
      <c r="AK22">
        <v>0.45837547317740235</v>
      </c>
    </row>
    <row r="23" spans="1:37" ht="18" x14ac:dyDescent="0.25">
      <c r="A23" s="43" t="s">
        <v>266</v>
      </c>
      <c r="B23" s="54">
        <v>61500</v>
      </c>
      <c r="D23" s="51"/>
      <c r="G23" s="66" t="s">
        <v>294</v>
      </c>
      <c r="H23" s="60">
        <f xml:space="preserve"> (2.405/H22)^2 + (PI()/(H21))^2</f>
        <v>2.1679033490434624E-2</v>
      </c>
      <c r="M23" s="74">
        <f t="shared" si="1"/>
        <v>220</v>
      </c>
      <c r="N23" s="61">
        <v>0.12768890520761117</v>
      </c>
      <c r="O23" s="74">
        <v>0.36523787678985126</v>
      </c>
      <c r="P23" s="74">
        <v>5.2148157389799703E-3</v>
      </c>
      <c r="Q23" s="74">
        <v>0.98872626639884764</v>
      </c>
      <c r="R23" s="74">
        <v>0.7658686674150128</v>
      </c>
      <c r="AA23" s="88">
        <f t="shared" si="4"/>
        <v>2100</v>
      </c>
      <c r="AB23" s="88">
        <v>0.22086921981778826</v>
      </c>
    </row>
    <row r="24" spans="1:37" ht="15" x14ac:dyDescent="0.2">
      <c r="A24" s="48" t="s">
        <v>252</v>
      </c>
      <c r="B24" s="44">
        <v>2.85</v>
      </c>
      <c r="G24" s="66" t="s">
        <v>298</v>
      </c>
      <c r="H24" s="61">
        <f xml:space="preserve"> H19*H23</f>
        <v>4.9911943370853753E-3</v>
      </c>
      <c r="M24" s="74">
        <f t="shared" si="1"/>
        <v>230</v>
      </c>
      <c r="N24" s="61">
        <v>0.12474456892898711</v>
      </c>
      <c r="O24" s="74">
        <v>0.36531999157433048</v>
      </c>
      <c r="P24" s="74">
        <v>5.3351163748941209E-3</v>
      </c>
      <c r="Q24" s="74">
        <v>0.98847738648140349</v>
      </c>
      <c r="R24" s="74">
        <v>0.76606149866570816</v>
      </c>
      <c r="AA24" s="88">
        <f t="shared" si="4"/>
        <v>2200</v>
      </c>
      <c r="AB24" s="88">
        <v>0.20775875422577431</v>
      </c>
    </row>
    <row r="25" spans="1:37" ht="16" x14ac:dyDescent="0.2">
      <c r="A25" s="48" t="s">
        <v>254</v>
      </c>
      <c r="B25" s="44">
        <v>27</v>
      </c>
      <c r="G25" s="2"/>
      <c r="M25" s="74">
        <f t="shared" si="1"/>
        <v>240</v>
      </c>
      <c r="N25" s="61">
        <v>0.12168022672817216</v>
      </c>
      <c r="O25" s="74">
        <v>0.36540590814590002</v>
      </c>
      <c r="P25" s="74">
        <v>5.4621695665052067E-3</v>
      </c>
      <c r="Q25" s="74">
        <v>0.9882158009870653</v>
      </c>
      <c r="R25" s="74">
        <v>0.76626427884350112</v>
      </c>
      <c r="AA25" s="88">
        <f t="shared" si="4"/>
        <v>2300</v>
      </c>
      <c r="AB25" s="88">
        <v>0.19464828863376063</v>
      </c>
    </row>
    <row r="26" spans="1:37" ht="16" thickBot="1" x14ac:dyDescent="0.25">
      <c r="A26" s="49" t="s">
        <v>256</v>
      </c>
      <c r="B26" s="45">
        <f>200*0.000000000000160218</f>
        <v>3.2043600000000004E-11</v>
      </c>
      <c r="G26" s="2"/>
      <c r="M26" s="74">
        <f t="shared" si="1"/>
        <v>250</v>
      </c>
      <c r="N26" s="61">
        <v>0.11848400999502215</v>
      </c>
      <c r="O26" s="74">
        <v>0.36549586685025676</v>
      </c>
      <c r="P26" s="74">
        <v>5.5970374942352326E-3</v>
      </c>
      <c r="Q26" s="74">
        <v>0.98794007139055173</v>
      </c>
      <c r="R26" s="74">
        <v>0.76647813973096457</v>
      </c>
      <c r="W26" s="88"/>
      <c r="AA26" s="88">
        <f t="shared" si="4"/>
        <v>2400</v>
      </c>
      <c r="AB26" s="88">
        <v>0.18153782304174695</v>
      </c>
    </row>
    <row r="27" spans="1:37" x14ac:dyDescent="0.15">
      <c r="M27" s="74">
        <f t="shared" si="1"/>
        <v>260</v>
      </c>
      <c r="N27" s="61">
        <v>0.11514120227428259</v>
      </c>
      <c r="O27" s="74">
        <v>0.36559017334060134</v>
      </c>
      <c r="P27" s="74">
        <v>5.7410589122055961E-3</v>
      </c>
      <c r="Q27" s="74">
        <v>0.98764838033124913</v>
      </c>
      <c r="R27" s="74">
        <v>0.76670451059833278</v>
      </c>
      <c r="AA27" s="88">
        <f t="shared" si="4"/>
        <v>2500</v>
      </c>
      <c r="AB27" s="88">
        <v>0.16842735744973314</v>
      </c>
    </row>
    <row r="28" spans="1:37" x14ac:dyDescent="0.15">
      <c r="M28" s="74">
        <f t="shared" si="1"/>
        <v>270</v>
      </c>
      <c r="N28" s="61">
        <v>0.11163319588957848</v>
      </c>
      <c r="O28" s="74">
        <v>0.36568922059677028</v>
      </c>
      <c r="P28" s="74">
        <v>5.8959598378601381E-3</v>
      </c>
      <c r="Q28" s="74">
        <v>0.98733838644497263</v>
      </c>
      <c r="R28" s="74">
        <v>0.76694523223351796</v>
      </c>
      <c r="AA28" s="88">
        <f t="shared" si="4"/>
        <v>2600</v>
      </c>
      <c r="AB28" s="88">
        <v>0.15531689185771949</v>
      </c>
    </row>
    <row r="29" spans="1:37" x14ac:dyDescent="0.15">
      <c r="M29" s="74">
        <f t="shared" si="1"/>
        <v>280</v>
      </c>
      <c r="N29" s="61">
        <v>0.10793582229130444</v>
      </c>
      <c r="O29" s="74">
        <v>0.36579352482468691</v>
      </c>
      <c r="P29" s="74">
        <v>6.0640296527941333E-3</v>
      </c>
      <c r="Q29" s="74">
        <v>0.98700699205004838</v>
      </c>
      <c r="R29" s="74">
        <v>0.76720273937705719</v>
      </c>
      <c r="AA29" s="88">
        <f t="shared" si="4"/>
        <v>2700</v>
      </c>
      <c r="AB29" s="88">
        <v>0.1422064262657057</v>
      </c>
    </row>
    <row r="30" spans="1:37" x14ac:dyDescent="0.15">
      <c r="M30" s="74">
        <f t="shared" si="1"/>
        <v>290</v>
      </c>
      <c r="N30" s="61">
        <v>0.1040166067525905</v>
      </c>
      <c r="O30" s="74">
        <v>0.36590378395158674</v>
      </c>
      <c r="P30" s="74">
        <v>6.2484143586603036E-3</v>
      </c>
      <c r="Q30" s="74">
        <v>0.98664995829676871</v>
      </c>
      <c r="R30" s="74">
        <v>0.76748036293672273</v>
      </c>
      <c r="AA30" s="88">
        <f t="shared" si="4"/>
        <v>2800</v>
      </c>
      <c r="AB30" s="88">
        <v>0.12909596067369197</v>
      </c>
    </row>
    <row r="31" spans="1:37" x14ac:dyDescent="0.15">
      <c r="M31" s="74">
        <f t="shared" si="1"/>
        <v>300</v>
      </c>
      <c r="N31" s="61">
        <v>9.9830065051927874E-2</v>
      </c>
      <c r="O31" s="74">
        <v>0.36602097489478397</v>
      </c>
      <c r="P31" s="74">
        <v>6.45363357955936E-3</v>
      </c>
      <c r="Q31" s="74">
        <v>0.98626123585688552</v>
      </c>
      <c r="R31" s="74">
        <v>0.76778285565203663</v>
      </c>
      <c r="AA31" s="88">
        <f t="shared" si="4"/>
        <v>2900</v>
      </c>
      <c r="AB31" s="88">
        <v>0.11598549508167826</v>
      </c>
    </row>
    <row r="32" spans="1:37" x14ac:dyDescent="0.15">
      <c r="AA32" s="88">
        <f t="shared" si="4"/>
        <v>3000</v>
      </c>
      <c r="AB32" s="88">
        <v>0.10287502948966441</v>
      </c>
    </row>
    <row r="33" spans="27:28" x14ac:dyDescent="0.15">
      <c r="AA33" s="88">
        <f t="shared" si="4"/>
        <v>3100</v>
      </c>
      <c r="AB33" s="88">
        <v>8.9764563897650543E-2</v>
      </c>
    </row>
    <row r="34" spans="27:28" x14ac:dyDescent="0.15">
      <c r="AA34" s="88">
        <f t="shared" si="4"/>
        <v>3200</v>
      </c>
      <c r="AB34" s="88">
        <v>7.665409830563702E-2</v>
      </c>
    </row>
    <row r="35" spans="27:28" x14ac:dyDescent="0.15">
      <c r="AA35" s="88">
        <f t="shared" si="4"/>
        <v>3300</v>
      </c>
      <c r="AB35" s="88">
        <v>6.3543632713623219E-2</v>
      </c>
    </row>
    <row r="36" spans="27:28" x14ac:dyDescent="0.15">
      <c r="AA36" s="88">
        <f t="shared" si="4"/>
        <v>3400</v>
      </c>
      <c r="AB36" s="88">
        <v>5.0433167121609432E-2</v>
      </c>
    </row>
    <row r="37" spans="27:28" x14ac:dyDescent="0.15">
      <c r="AA37" s="88">
        <f t="shared" si="4"/>
        <v>3500</v>
      </c>
      <c r="AB37" s="88">
        <v>3.7322701529595617E-2</v>
      </c>
    </row>
    <row r="38" spans="27:28" x14ac:dyDescent="0.15">
      <c r="AA38" s="88">
        <f t="shared" si="4"/>
        <v>3600</v>
      </c>
      <c r="AB38" s="88">
        <v>2.421223593758183E-2</v>
      </c>
    </row>
    <row r="39" spans="27:28" x14ac:dyDescent="0.15">
      <c r="AA39" s="88">
        <f t="shared" si="4"/>
        <v>3700</v>
      </c>
      <c r="AB39" s="88">
        <v>1.1101770345568177E-2</v>
      </c>
    </row>
    <row r="40" spans="27:28" x14ac:dyDescent="0.15">
      <c r="AA40" s="88">
        <f t="shared" si="4"/>
        <v>3800</v>
      </c>
      <c r="AB40" s="88">
        <v>-2.0086952464453481E-3</v>
      </c>
    </row>
    <row r="41" spans="27:28" x14ac:dyDescent="0.15">
      <c r="AA41" s="88">
        <f t="shared" si="4"/>
        <v>3900</v>
      </c>
      <c r="AB41" s="88">
        <v>-1.5119160838459244E-2</v>
      </c>
    </row>
    <row r="42" spans="27:28" x14ac:dyDescent="0.15">
      <c r="AA42" s="88">
        <f t="shared" si="4"/>
        <v>4000</v>
      </c>
      <c r="AB42" s="88">
        <v>-2.8229626430472981E-2</v>
      </c>
    </row>
    <row r="43" spans="27:28" x14ac:dyDescent="0.15">
      <c r="AA43" s="88">
        <f t="shared" si="4"/>
        <v>4100</v>
      </c>
      <c r="AB43" s="88">
        <v>-4.1340092022486792E-2</v>
      </c>
    </row>
    <row r="44" spans="27:28" x14ac:dyDescent="0.15">
      <c r="AA44" s="88">
        <f t="shared" si="4"/>
        <v>4200</v>
      </c>
      <c r="AB44" s="88">
        <v>-5.4450557614500426E-2</v>
      </c>
    </row>
    <row r="45" spans="27:28" x14ac:dyDescent="0.15">
      <c r="AA45" s="88">
        <f t="shared" si="4"/>
        <v>4300</v>
      </c>
      <c r="AB45" s="88">
        <v>-6.7561023206514234E-2</v>
      </c>
    </row>
    <row r="46" spans="27:28" x14ac:dyDescent="0.15">
      <c r="AA46" s="88">
        <f t="shared" si="4"/>
        <v>4400</v>
      </c>
      <c r="AB46" s="88">
        <v>-8.0671488798528146E-2</v>
      </c>
    </row>
    <row r="47" spans="27:28" x14ac:dyDescent="0.15">
      <c r="AA47" s="88">
        <f t="shared" si="4"/>
        <v>4500</v>
      </c>
      <c r="AB47" s="88">
        <v>-9.3781954390541725E-2</v>
      </c>
    </row>
    <row r="48" spans="27:28" x14ac:dyDescent="0.15">
      <c r="AA48" s="88">
        <f t="shared" si="4"/>
        <v>4600</v>
      </c>
      <c r="AB48" s="88">
        <v>-0.10689241998255547</v>
      </c>
    </row>
    <row r="49" spans="27:28" x14ac:dyDescent="0.15">
      <c r="AA49" s="88">
        <f t="shared" si="4"/>
        <v>4700</v>
      </c>
      <c r="AB49" s="88">
        <v>-0.12000288557456924</v>
      </c>
    </row>
    <row r="50" spans="27:28" x14ac:dyDescent="0.15">
      <c r="AA50" s="88">
        <f t="shared" si="4"/>
        <v>4800</v>
      </c>
      <c r="AB50" s="88">
        <v>-0.13311335116658285</v>
      </c>
    </row>
    <row r="51" spans="27:28" x14ac:dyDescent="0.15">
      <c r="AA51" s="88">
        <f t="shared" si="4"/>
        <v>4900</v>
      </c>
      <c r="AB51" s="88">
        <v>-0.14622381675859669</v>
      </c>
    </row>
    <row r="52" spans="27:28" x14ac:dyDescent="0.15">
      <c r="AA52" s="88">
        <f t="shared" si="4"/>
        <v>5000</v>
      </c>
      <c r="AB52" s="88">
        <v>-0.15933428235061056</v>
      </c>
    </row>
  </sheetData>
  <mergeCells count="10">
    <mergeCell ref="J1:K1"/>
    <mergeCell ref="G5:H5"/>
    <mergeCell ref="J15:K15"/>
    <mergeCell ref="A1:B1"/>
    <mergeCell ref="D1:E1"/>
    <mergeCell ref="A12:B12"/>
    <mergeCell ref="G1:H1"/>
    <mergeCell ref="D10:E10"/>
    <mergeCell ref="D15:E15"/>
    <mergeCell ref="G15:H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BB804-549C-B243-9BB6-97FD2283E4F5}">
  <dimension ref="A1"/>
  <sheetViews>
    <sheetView showGridLines="0" zoomScale="62" workbookViewId="0">
      <selection activeCell="N66" sqref="N66"/>
    </sheetView>
  </sheetViews>
  <sheetFormatPr baseColWidth="10" defaultRowHeight="13" x14ac:dyDescent="0.15"/>
  <cols>
    <col min="1" max="16384" width="10.83203125" style="7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A2E4E-E5AF-A744-B700-9FE31F70BC09}">
  <dimension ref="A1"/>
  <sheetViews>
    <sheetView showGridLines="0" tabSelected="1" zoomScale="75" workbookViewId="0">
      <selection activeCell="K80" sqref="K80"/>
    </sheetView>
  </sheetViews>
  <sheetFormatPr baseColWidth="10" defaultRowHeight="13" x14ac:dyDescent="0.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379A8-6809-6D4E-84B9-EE1B71B5A5B1}">
  <dimension ref="A1"/>
  <sheetViews>
    <sheetView showGridLines="0" workbookViewId="0">
      <selection activeCell="N28" sqref="N28"/>
    </sheetView>
  </sheetViews>
  <sheetFormatPr baseColWidth="10" defaultRowHeight="13" x14ac:dyDescent="0.1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17E2-1B9A-144F-A7FB-B6CA0F9D0668}">
  <dimension ref="A1"/>
  <sheetViews>
    <sheetView showGridLines="0" workbookViewId="0">
      <selection activeCell="Q19" sqref="Q19"/>
    </sheetView>
  </sheetViews>
  <sheetFormatPr baseColWidth="10" defaultRowHeight="13" x14ac:dyDescent="0.1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9060-4142-E84A-A4C8-C8F5639944D7}">
  <dimension ref="A1"/>
  <sheetViews>
    <sheetView showGridLines="0" zoomScaleNormal="100" workbookViewId="0">
      <selection activeCell="K31" sqref="K31"/>
    </sheetView>
  </sheetViews>
  <sheetFormatPr baseColWidth="10" defaultRowHeight="13" x14ac:dyDescent="0.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Properties</vt:lpstr>
      <vt:lpstr>Functions</vt:lpstr>
      <vt:lpstr>Model</vt:lpstr>
      <vt:lpstr>Question 3</vt:lpstr>
      <vt:lpstr>Question 4</vt:lpstr>
      <vt:lpstr>Question 5</vt:lpstr>
      <vt:lpstr>Question 6</vt:lpstr>
      <vt:lpstr>Question 7</vt:lpstr>
      <vt:lpstr>Boron_Mass</vt:lpstr>
      <vt:lpstr>Core_Diameter</vt:lpstr>
      <vt:lpstr>Core_Height</vt:lpstr>
      <vt:lpstr>Core_Radius</vt:lpstr>
      <vt:lpstr>Core_Volume</vt:lpstr>
      <vt:lpstr>Fuel_density</vt:lpstr>
      <vt:lpstr>HDR</vt:lpstr>
      <vt:lpstr>Model!N_235</vt:lpstr>
      <vt:lpstr>N_B</vt:lpstr>
      <vt:lpstr>N_H20</vt:lpstr>
      <vt:lpstr>neutrons_per_fission</vt:lpstr>
      <vt:lpstr>Pressure</vt:lpstr>
      <vt:lpstr>Tc_ave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Adam Ikehara</cp:lastModifiedBy>
  <dcterms:created xsi:type="dcterms:W3CDTF">1996-10-14T23:33:28Z</dcterms:created>
  <dcterms:modified xsi:type="dcterms:W3CDTF">2020-11-18T19:09:35Z</dcterms:modified>
</cp:coreProperties>
</file>